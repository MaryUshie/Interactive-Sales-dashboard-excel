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9_{73050773-28A5-4A0B-BF4F-FCF7326AC31F}" xr6:coauthVersionLast="47" xr6:coauthVersionMax="47" xr10:uidLastSave="{00000000-0000-0000-0000-000000000000}"/>
  <bookViews>
    <workbookView xWindow="-120" yWindow="-120" windowWidth="20730" windowHeight="11160" activeTab="1" xr2:uid="{17697BC5-0758-4B54-8213-39CA7BD2A88E}"/>
  </bookViews>
  <sheets>
    <sheet name="pivot" sheetId="2" r:id="rId1"/>
    <sheet name="dashboard" sheetId="3" r:id="rId2"/>
    <sheet name="data" sheetId="1" r:id="rId3"/>
  </sheets>
  <definedNames>
    <definedName name="NativeTimeline_Date">#N/A</definedName>
    <definedName name="Slicer_Country">#N/A</definedName>
    <definedName name="Slicer_Product">#N/A</definedName>
  </definedNames>
  <calcPr calcId="0"/>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Lst>
</workbook>
</file>

<file path=xl/calcChain.xml><?xml version="1.0" encoding="utf-8"?>
<calcChain xmlns="http://schemas.openxmlformats.org/spreadsheetml/2006/main">
  <c r="W9" i="3" l="1" a="1"/>
  <c r="B13" i="2"/>
  <c r="B12" i="2"/>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<sst xmlns="http://schemas.openxmlformats.org/spreadsheetml/2006/main" count="1628" uniqueCount="39">
  <si>
    <t>Country</t>
  </si>
  <si>
    <t>Product</t>
  </si>
  <si>
    <t>Units_Sold</t>
  </si>
  <si>
    <t>Price</t>
  </si>
  <si>
    <t>Cost</t>
  </si>
  <si>
    <t>Date</t>
  </si>
  <si>
    <t>Month_Number</t>
  </si>
  <si>
    <t>Month</t>
  </si>
  <si>
    <t>Year</t>
  </si>
  <si>
    <t>Canada</t>
  </si>
  <si>
    <t>Binder</t>
  </si>
  <si>
    <t>February</t>
  </si>
  <si>
    <t>India</t>
  </si>
  <si>
    <t>June</t>
  </si>
  <si>
    <t>Germany</t>
  </si>
  <si>
    <t>July</t>
  </si>
  <si>
    <t>August</t>
  </si>
  <si>
    <t>September</t>
  </si>
  <si>
    <t>United States</t>
  </si>
  <si>
    <t>October</t>
  </si>
  <si>
    <t>December</t>
  </si>
  <si>
    <t>France</t>
  </si>
  <si>
    <t>January</t>
  </si>
  <si>
    <t>May</t>
  </si>
  <si>
    <t>April</t>
  </si>
  <si>
    <t>November</t>
  </si>
  <si>
    <t>March</t>
  </si>
  <si>
    <t>Stapler</t>
  </si>
  <si>
    <t>Shredder</t>
  </si>
  <si>
    <t>Peforator</t>
  </si>
  <si>
    <t>USB</t>
  </si>
  <si>
    <t>Pen</t>
  </si>
  <si>
    <t>Sales</t>
  </si>
  <si>
    <t>Row Labels</t>
  </si>
  <si>
    <t>Grand Total</t>
  </si>
  <si>
    <t>Sum of Sales</t>
  </si>
  <si>
    <t>Sum of Units_Sold</t>
  </si>
  <si>
    <t>Total  Revenue=</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</si>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</sst>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quot;K&quot;"/>
    <numFmt numFmtId="168" formatCode="_(&quot;$&quot;* #,##0_);_(&quot;$&quot;* \(#,##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33" borderId="10" xfId="0" applyFill="1" applyBorder="1" applyAlignment="1">
      <alignment horizontal="left"/>
    </xf>
    <xf numFmtId="168" fontId="0" fillId="33" borderId="10" xfId="1" applyNumberFormat="1" applyFont="1"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16">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[DASHBOARDNEW.xlsx]pivot!PivotTable1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layout>
        <c:manualLayout>
          <c:xMode val="edge"/>
          <c:yMode val="edge"/>
          <c:x val="0.45514862129647976"/>
          <c:y val="0.1047619047619047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pivot!$A$4:$A$9</c:f>
              <c:strCache>
                <c:ptCount val="5"/>
                <c:pt idx="0">
                  <c:v>Canada</c:v>
                </c:pt>
                <c:pt idx="1">
                  <c:v>France</c:v>
                </c:pt>
                <c:pt idx="2">
                  <c:v>Germany</c:v>
                </c:pt>
                <c:pt idx="3">
                  <c:v>India</c:v>
                </c:pt>
                <c:pt idx="4">
                  <c:v>United States</c:v>
                </c:pt>
              </c:strCache>
            </c:strRef>
          </c:cat>
          <c:val>
            <c:numRef>
              <c:f>pivot!$B$4:$B$9</c:f>
              <c:numCache>
                <c:formatCode>#,##0,"K"</c:formatCode>
                <c:ptCount val="5"/>
                <c:pt idx="0">
                  <c:v>763234.5</c:v>
                </c:pt>
                <c:pt idx="1">
                  <c:v>799848.5</c:v>
                </c:pt>
                <c:pt idx="2">
                  <c:v>615686</c:v>
                </c:pt>
                <c:pt idx="3">
                  <c:v>631911</c:v>
                </c:pt>
                <c:pt idx="4">
                  <c:v>776421.5</c:v>
                </c:pt>
              </c:numCache>
            </c:numRef>
          </c:val>
          <c:extLst>
            <c:ext xmlns:c16="http://schemas.microsoft.com/office/drawing/2014/chart" uri="{C3380CC4-5D6E-409C-BE32-E72D297353CC}">
              <c16:uniqueId val="{00000000-128D-4FDE-B0D9-1347EDC65CC0}"/>
            </c:ext>
          </c:extLst>
        </c:ser>
        <c:dLbls>
          <c:dLblPos val="outEnd"/>
          <c:showLegendKey val="0"/>
          <c:showVal val="1"/>
          <c:showCatName val="0"/>
          <c:showSerName val="0"/>
          <c:showPercent val="0"/>
          <c:showBubbleSize val="0"/>
        </c:dLbls>
        <c:gapWidth val="219"/>
        <c:overlap val="-27"/>
        <c:axId val="758226639"/>
        <c:axId val="758223279"/>
      </c:barChart>
      <c:catAx>
        <c:axId val="75822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223279"/>
        <c:crosses val="autoZero"/>
        <c:auto val="1"/>
        <c:lblAlgn val="ctr"/>
        <c:lblOffset val="100"/>
        <c:noMultiLvlLbl val="0"/>
      </c:catAx>
      <c:valAx>
        <c:axId val="758223279"/>
        <c:scaling>
          <c:orientation val="minMax"/>
        </c:scaling>
        <c:delete val="1"/>
        <c:axPos val="l"/>
        <c:numFmt formatCode="#,##0,&quot;K&quot;" sourceLinked="1"/>
        <c:majorTickMark val="none"/>
        <c:minorTickMark val="none"/>
        <c:tickLblPos val="nextTo"/>
        <c:crossAx val="7582266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[DASHBOARDNEW.xlsx]pivot!PivotTable2</c:name>
    <c:fmtId val="8"/>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b="1"/>
              <a:t>Monthly Sales</a:t>
            </a:r>
            <a:r>
              <a:rPr lang="en-US" b="1" baseline="0"/>
              <a:t> Trend</a:t>
            </a:r>
            <a:endParaRPr lang="en-US" b="1"/>
          </a:p>
        </c:rich>
      </c:tx>
      <c:layout>
        <c:manualLayout>
          <c:xMode val="edge"/>
          <c:yMode val="edge"/>
          <c:x val="0.28783036839145404"/>
          <c:y val="3.7483266398929051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layout>
            <c:manualLayout>
              <c:x val="-1.289929753809139E-16"/>
              <c:y val="-0.257028112449799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dLbl>
          <c:idx val="0"/>
          <c:layout>
            <c:manualLayout>
              <c:x val="3.5180308777847153E-3"/>
              <c:y val="-0.208835341365461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dLbl>
          <c:idx val="0"/>
          <c:layout>
            <c:manualLayout>
              <c:x val="0"/>
              <c:y val="-0.289156626506024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dLbl>
          <c:idx val="0"/>
          <c:layout>
            <c:manualLayout>
              <c:x val="0"/>
              <c:y val="-0.30522088353413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dLbl>
          <c:idx val="0"/>
          <c:layout>
            <c:manualLayout>
              <c:x val="-7.0360617555694305E-3"/>
              <c:y val="-0.230254350736278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dLbl>
          <c:idx val="0"/>
          <c:layout>
            <c:manualLayout>
              <c:x val="0"/>
              <c:y val="-0.257028112449799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dLbl>
          <c:idx val="0"/>
          <c:layout>
            <c:manualLayout>
              <c:x val="-1.0554092633354146E-2"/>
              <c:y val="-0.187416331994645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dLbl>
          <c:idx val="0"/>
          <c:layout>
            <c:manualLayout>
              <c:x val="3.5180308777846506E-3"/>
              <c:y val="-0.278447121820615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dLbl>
          <c:idx val="0"/>
          <c:layout>
            <c:manualLayout>
              <c:x val="0"/>
              <c:y val="-0.246318607764390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dLbl>
          <c:idx val="0"/>
          <c:layout>
            <c:manualLayout>
              <c:x val="-3.5180308777847153E-3"/>
              <c:y val="-0.22489959839357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dLbl>
          <c:idx val="0"/>
          <c:layout>
            <c:manualLayout>
              <c:x val="-1.0554092633354146E-2"/>
              <c:y val="-0.208835341365461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c:spPr>
        <c:dLbl>
          <c:idx val="0"/>
          <c:layout>
            <c:manualLayout>
              <c:x val="0"/>
              <c:y val="-0.19277108433734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pivot!$E$3</c:f>
              <c:strCache>
                <c:ptCount val="1"/>
                <c:pt idx="0">
                  <c:v>Total</c:v>
                </c:pt>
              </c:strCache>
            </c:strRef>
          </c:tx>
          <c:spPr>
            <a:solidFill>
              <a:srgbClr val="00B050"/>
            </a:solidFill>
            <a:ln>
              <a:noFill/>
            </a:ln>
            <a:effectLst/>
          </c:spPr>
          <c:invertIfNegative val="0"/>
          <c:dLbls>
            <c:dLbl>
              <c:idx val="0"/>
              <c:layout>
                <c:manualLayout>
                  <c:x val="0"/>
                  <c:y val="-0.192771084337349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056-4065-8390-3BA1B1E19052}"/>
                </c:ext>
              </c:extLst>
            </c:dLbl>
            <c:dLbl>
              <c:idx val="1"/>
              <c:layout>
                <c:manualLayout>
                  <c:x val="-1.0554092633354146E-2"/>
                  <c:y val="-0.208835341365461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056-4065-8390-3BA1B1E19052}"/>
                </c:ext>
              </c:extLst>
            </c:dLbl>
            <c:dLbl>
              <c:idx val="2"/>
              <c:layout>
                <c:manualLayout>
                  <c:x val="-3.5180308777847153E-3"/>
                  <c:y val="-0.224899598393574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056-4065-8390-3BA1B1E19052}"/>
                </c:ext>
              </c:extLst>
            </c:dLbl>
            <c:dLbl>
              <c:idx val="3"/>
              <c:layout>
                <c:manualLayout>
                  <c:x val="0"/>
                  <c:y val="-0.246318607764390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056-4065-8390-3BA1B1E19052}"/>
                </c:ext>
              </c:extLst>
            </c:dLbl>
            <c:dLbl>
              <c:idx val="4"/>
              <c:layout>
                <c:manualLayout>
                  <c:x val="-1.0554092633354146E-2"/>
                  <c:y val="-0.187416331994645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56-4065-8390-3BA1B1E19052}"/>
                </c:ext>
              </c:extLst>
            </c:dLbl>
            <c:dLbl>
              <c:idx val="5"/>
              <c:layout>
                <c:manualLayout>
                  <c:x val="3.5180308777846506E-3"/>
                  <c:y val="-0.278447121820615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056-4065-8390-3BA1B1E19052}"/>
                </c:ext>
              </c:extLst>
            </c:dLbl>
            <c:dLbl>
              <c:idx val="6"/>
              <c:layout>
                <c:manualLayout>
                  <c:x val="0"/>
                  <c:y val="-0.257028112449799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56-4065-8390-3BA1B1E19052}"/>
                </c:ext>
              </c:extLst>
            </c:dLbl>
            <c:dLbl>
              <c:idx val="7"/>
              <c:layout>
                <c:manualLayout>
                  <c:x val="-7.0360617555694305E-3"/>
                  <c:y val="-0.230254350736278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56-4065-8390-3BA1B1E19052}"/>
                </c:ext>
              </c:extLst>
            </c:dLbl>
            <c:dLbl>
              <c:idx val="8"/>
              <c:layout>
                <c:manualLayout>
                  <c:x val="0"/>
                  <c:y val="-0.3052208835341365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56-4065-8390-3BA1B1E19052}"/>
                </c:ext>
              </c:extLst>
            </c:dLbl>
            <c:dLbl>
              <c:idx val="9"/>
              <c:layout>
                <c:manualLayout>
                  <c:x val="0"/>
                  <c:y val="-0.289156626506024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56-4065-8390-3BA1B1E19052}"/>
                </c:ext>
              </c:extLst>
            </c:dLbl>
            <c:dLbl>
              <c:idx val="10"/>
              <c:layout>
                <c:manualLayout>
                  <c:x val="3.5180308777847153E-3"/>
                  <c:y val="-0.208835341365461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56-4065-8390-3BA1B1E19052}"/>
                </c:ext>
              </c:extLst>
            </c:dLbl>
            <c:dLbl>
              <c:idx val="11"/>
              <c:layout>
                <c:manualLayout>
                  <c:x val="-1.289929753809139E-16"/>
                  <c:y val="-0.257028112449799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56-4065-8390-3BA1B1E190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pivot!$E$4:$E$16</c:f>
              <c:numCache>
                <c:formatCode>#,##0,"K"</c:formatCode>
                <c:ptCount val="12"/>
                <c:pt idx="0">
                  <c:v>291833.5</c:v>
                </c:pt>
                <c:pt idx="1">
                  <c:v>231925</c:v>
                </c:pt>
                <c:pt idx="2">
                  <c:v>219071</c:v>
                </c:pt>
                <c:pt idx="3">
                  <c:v>333354.5</c:v>
                </c:pt>
                <c:pt idx="4">
                  <c:v>215866</c:v>
                </c:pt>
                <c:pt idx="5">
                  <c:v>426848</c:v>
                </c:pt>
                <c:pt idx="6">
                  <c:v>296147.5</c:v>
                </c:pt>
                <c:pt idx="7">
                  <c:v>261755</c:v>
                </c:pt>
                <c:pt idx="8">
                  <c:v>238774</c:v>
                </c:pt>
                <c:pt idx="9">
                  <c:v>434637</c:v>
                </c:pt>
                <c:pt idx="10">
                  <c:v>217879</c:v>
                </c:pt>
                <c:pt idx="11">
                  <c:v>419011</c:v>
                </c:pt>
              </c:numCache>
            </c:numRef>
          </c:val>
          <c:extLst>
            <c:ext xmlns:c16="http://schemas.microsoft.com/office/drawing/2014/chart" uri="{C3380CC4-5D6E-409C-BE32-E72D297353CC}">
              <c16:uniqueId val="{00000000-7056-4065-8390-3BA1B1E19052}"/>
            </c:ext>
          </c:extLst>
        </c:ser>
        <c:dLbls>
          <c:dLblPos val="ctr"/>
          <c:showLegendKey val="0"/>
          <c:showVal val="1"/>
          <c:showCatName val="0"/>
          <c:showSerName val="0"/>
          <c:showPercent val="0"/>
          <c:showBubbleSize val="0"/>
        </c:dLbls>
        <c:gapWidth val="60"/>
        <c:overlap val="2"/>
        <c:axId val="713301695"/>
        <c:axId val="713288255"/>
      </c:barChart>
      <c:catAx>
        <c:axId val="71330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288255"/>
        <c:crosses val="autoZero"/>
        <c:auto val="1"/>
        <c:lblAlgn val="ctr"/>
        <c:lblOffset val="100"/>
        <c:noMultiLvlLbl val="0"/>
      </c:catAx>
      <c:valAx>
        <c:axId val="713288255"/>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30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[DASHBOARDNEW.xlsx]pivot!PivotTable4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Sold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81327433015463"/>
          <c:y val="0.25393539184343222"/>
          <c:w val="0.81492808121939908"/>
          <c:h val="0.61812609413419384"/>
        </c:manualLayout>
      </c:layout>
      <c:areaChart>
        <c:grouping val="stacked"/>
        <c:varyColors val="0"/>
        <c:ser>
          <c:idx val="0"/>
          <c:order val="0"/>
          <c:tx>
            <c:strRef>
              <c:f>pivot!$K$3</c:f>
              <c:strCache>
                <c:ptCount val="1"/>
                <c:pt idx="0">
                  <c:v>Total</c:v>
                </c:pt>
              </c:strCache>
            </c:strRef>
          </c:tx>
          <c:spPr>
            <a:solidFill>
              <a:schemeClr val="accent6">
                <a:lumMod val="60000"/>
                <a:lumOff val="40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pivot!$J$4:$J$10</c:f>
              <c:strCache>
                <c:ptCount val="6"/>
                <c:pt idx="0">
                  <c:v>Binder</c:v>
                </c:pt>
                <c:pt idx="1">
                  <c:v>Peforator</c:v>
                </c:pt>
                <c:pt idx="2">
                  <c:v>Pen</c:v>
                </c:pt>
                <c:pt idx="3">
                  <c:v>Shredder</c:v>
                </c:pt>
                <c:pt idx="4">
                  <c:v>Stapler</c:v>
                </c:pt>
                <c:pt idx="5">
                  <c:v>USB</c:v>
                </c:pt>
              </c:strCache>
            </c:strRef>
          </c:cat>
          <c:val>
            <c:numRef>
              <c:f>pivot!$K$4:$K$10</c:f>
              <c:numCache>
                <c:formatCode>#,##0,"K"</c:formatCode>
                <c:ptCount val="6"/>
                <c:pt idx="0">
                  <c:v>255992.5</c:v>
                </c:pt>
                <c:pt idx="1">
                  <c:v>115442</c:v>
                </c:pt>
                <c:pt idx="2">
                  <c:v>122953.5</c:v>
                </c:pt>
                <c:pt idx="3">
                  <c:v>121627</c:v>
                </c:pt>
                <c:pt idx="4">
                  <c:v>117918</c:v>
                </c:pt>
                <c:pt idx="5">
                  <c:v>127199</c:v>
                </c:pt>
              </c:numCache>
            </c:numRef>
          </c:val>
          <c:extLst>
            <c:ext xmlns:c16="http://schemas.microsoft.com/office/drawing/2014/chart" uri="{C3380CC4-5D6E-409C-BE32-E72D297353CC}">
              <c16:uniqueId val="{00000000-32B4-4CB3-92CF-865D154C59A4}"/>
            </c:ext>
          </c:extLst>
        </c:ser>
        <c:dLbls>
          <c:showLegendKey val="0"/>
          <c:showVal val="1"/>
          <c:showCatName val="0"/>
          <c:showSerName val="0"/>
          <c:showPercent val="0"/>
          <c:showBubbleSize val="0"/>
        </c:dLbls>
        <c:axId val="714009423"/>
        <c:axId val="714009903"/>
      </c:areaChart>
      <c:catAx>
        <c:axId val="714009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009903"/>
        <c:crosses val="autoZero"/>
        <c:auto val="1"/>
        <c:lblAlgn val="ctr"/>
        <c:lblOffset val="100"/>
        <c:noMultiLvlLbl val="0"/>
      </c:catAx>
      <c:valAx>
        <c:axId val="714009903"/>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0094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[DASHBOARDNEW.xlsx]pivot!PivotTable3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a:p>
            <a:pPr>
              <a:defRPr/>
            </a:pPr>
            <a:endParaRPr lang="en-US"/>
          </a:p>
        </c:rich>
      </c:tx>
      <c:layout>
        <c:manualLayout>
          <c:xMode val="edge"/>
          <c:yMode val="edge"/>
          <c:x val="0.4439672801635991"/>
          <c:y val="3.57942086661443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pivot!$G$4:$G$10</c:f>
              <c:strCache>
                <c:ptCount val="6"/>
                <c:pt idx="0">
                  <c:v>Binder</c:v>
                </c:pt>
                <c:pt idx="1">
                  <c:v>Peforator</c:v>
                </c:pt>
                <c:pt idx="2">
                  <c:v>Pen</c:v>
                </c:pt>
                <c:pt idx="3">
                  <c:v>Shredder</c:v>
                </c:pt>
                <c:pt idx="4">
                  <c:v>Stapler</c:v>
                </c:pt>
                <c:pt idx="5">
                  <c:v>USB</c:v>
                </c:pt>
              </c:strCache>
            </c:strRef>
          </c:cat>
          <c:val>
            <c:numRef>
              <c:f>pivot!$H$4:$H$10</c:f>
              <c:numCache>
                <c:formatCode>#,##0,"K"</c:formatCode>
                <c:ptCount val="6"/>
                <c:pt idx="0">
                  <c:v>1279962.5</c:v>
                </c:pt>
                <c:pt idx="1">
                  <c:v>461768</c:v>
                </c:pt>
                <c:pt idx="2">
                  <c:v>737721</c:v>
                </c:pt>
                <c:pt idx="3">
                  <c:v>608135</c:v>
                </c:pt>
                <c:pt idx="4">
                  <c:v>117918</c:v>
                </c:pt>
                <c:pt idx="5">
                  <c:v>381597</c:v>
                </c:pt>
              </c:numCache>
            </c:numRef>
          </c:val>
          <c:extLst>
            <c:ext xmlns:c16="http://schemas.microsoft.com/office/drawing/2014/chart" uri="{C3380CC4-5D6E-409C-BE32-E72D297353CC}">
              <c16:uniqueId val="{00000000-B790-4188-880A-2865C467E230}"/>
            </c:ext>
          </c:extLst>
        </c:ser>
        <c:dLbls>
          <c:dLblPos val="outEnd"/>
          <c:showLegendKey val="0"/>
          <c:showVal val="1"/>
          <c:showCatName val="0"/>
          <c:showSerName val="0"/>
          <c:showPercent val="0"/>
          <c:showBubbleSize val="0"/>
        </c:dLbls>
        <c:gapWidth val="70"/>
        <c:axId val="714010383"/>
        <c:axId val="476297151"/>
      </c:barChart>
      <c:catAx>
        <c:axId val="71401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297151"/>
        <c:crosses val="autoZero"/>
        <c:auto val="1"/>
        <c:lblAlgn val="ctr"/>
        <c:lblOffset val="100"/>
        <c:noMultiLvlLbl val="0"/>
      </c:catAx>
      <c:valAx>
        <c:axId val="476297151"/>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01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4.xml"/><Relationship Id="rId3" Type="http://schemas.microsoft.com/office/2007/relationships/hdphoto" Target="../media/hdphoto1.wdp"/><Relationship Id="rId7" Type="http://schemas.openxmlformats.org/officeDocument/2006/relationships/image" Target="../media/image3.svg"/><Relationship Id="rId12"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2.png"/><Relationship Id="rId11" Type="http://schemas.openxmlformats.org/officeDocument/2006/relationships/chart" Target="../charts/chart2.xml"/><Relationship Id="rId5" Type="http://schemas.openxmlformats.org/officeDocument/2006/relationships/hyperlink" Target="#data!A1"/><Relationship Id="rId10" Type="http://schemas.openxmlformats.org/officeDocument/2006/relationships/chart" Target="../charts/chart1.xml"/><Relationship Id="rId4" Type="http://schemas.openxmlformats.org/officeDocument/2006/relationships/hyperlink" Target="#pivot!A1"/><Relationship Id="rId9" Type="http://schemas.openxmlformats.org/officeDocument/2006/relationships/image" Target="../media/image5.svg"/></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28575</xdr:rowOff>
    </xdr:from>
    <xdr:to>
      <xdr:col>1</xdr:col>
      <xdr:colOff>38100</xdr:colOff>
      <xdr:row>1</xdr:row>
      <xdr:rowOff>114300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743F1A5D-9066-C40A-EAAF-5C9F668D5E4B}"/>
            </a:ext>
          </a:extLst>
        </xdr:cNvPr>
        <xdr:cNvSpPr/>
      </xdr:nvSpPr>
      <xdr:spPr>
        <a:xfrm>
          <a:off x="0" y="28575"/>
          <a:ext cx="914400" cy="276225"/>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419100</xdr:colOff>
      <xdr:row>21</xdr:row>
      <xdr:rowOff>85725</xdr:rowOff>
    </xdr:to>
    <xdr:sp macro="" textlink="">
      <xdr:nvSpPr>
        <xdr:cNvPr id="2" name="Rectangle: Rounded Corners 1">
          <a:extLst>
            <a:ext uri="{FF2B5EF4-FFF2-40B4-BE49-F238E27FC236}">
              <a16:creationId xmlns:a16="http://schemas.microsoft.com/office/drawing/2014/main" id="{9D66A379-4176-B6A1-2527-E6157199AC73}"/>
            </a:ext>
          </a:extLst>
        </xdr:cNvPr>
        <xdr:cNvSpPr/>
      </xdr:nvSpPr>
      <xdr:spPr>
        <a:xfrm>
          <a:off x="0" y="0"/>
          <a:ext cx="13220700" cy="40862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1</xdr:row>
      <xdr:rowOff>161925</xdr:rowOff>
    </xdr:from>
    <xdr:to>
      <xdr:col>18</xdr:col>
      <xdr:colOff>295276</xdr:colOff>
      <xdr:row>27</xdr:row>
      <xdr:rowOff>106574</xdr:rowOff>
    </xdr:to>
    <xdr:sp macro="" textlink="">
      <xdr:nvSpPr>
        <xdr:cNvPr id="3" name="Rectangle: Rounded Corners 2">
          <a:extLst>
            <a:ext uri="{FF2B5EF4-FFF2-40B4-BE49-F238E27FC236}">
              <a16:creationId xmlns:a16="http://schemas.microsoft.com/office/drawing/2014/main" id="{BFE782C7-03D6-D0B2-4059-7028407D4A2D}"/>
            </a:ext>
          </a:extLst>
        </xdr:cNvPr>
        <xdr:cNvSpPr/>
      </xdr:nvSpPr>
      <xdr:spPr>
        <a:xfrm>
          <a:off x="38100" y="352425"/>
          <a:ext cx="11229976" cy="4897649"/>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a:t>
          </a:r>
        </a:p>
      </xdr:txBody>
    </xdr:sp>
    <xdr:clientData/>
  </xdr:twoCellAnchor>
  <xdr:twoCellAnchor editAs="oneCell">
    <xdr:from>
      <xdr:col>0</xdr:col>
      <xdr:colOff>0</xdr:colOff>
      <xdr:row>0</xdr:row>
      <xdr:rowOff>0</xdr:rowOff>
    </xdr:from>
    <xdr:to>
      <xdr:col>2</xdr:col>
      <xdr:colOff>104774</xdr:colOff>
      <xdr:row>8</xdr:row>
      <xdr:rowOff>142874</xdr:rowOff>
    </xdr:to>
    <xdr:pic>
      <xdr:nvPicPr>
        <xdr:cNvPr id="5" name="Picture 4">
          <a:hlinkClick xmlns:r="http://schemas.openxmlformats.org/officeDocument/2006/relationships" r:id="rId1"/>
          <a:extLst>
            <a:ext uri="{FF2B5EF4-FFF2-40B4-BE49-F238E27FC236}">
              <a16:creationId xmlns:a16="http://schemas.microsoft.com/office/drawing/2014/main" id="{291EC8C5-5A35-FC3C-AAD9-906AF53EE60E}"/>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0" y="0"/>
          <a:ext cx="1323974" cy="1666874"/>
        </a:xfrm>
        <a:prstGeom prst="rect">
          <a:avLst/>
        </a:prstGeom>
      </xdr:spPr>
    </xdr:pic>
    <xdr:clientData/>
  </xdr:twoCellAnchor>
  <xdr:twoCellAnchor>
    <xdr:from>
      <xdr:col>0</xdr:col>
      <xdr:colOff>142874</xdr:colOff>
      <xdr:row>8</xdr:row>
      <xdr:rowOff>114302</xdr:rowOff>
    </xdr:from>
    <xdr:to>
      <xdr:col>2</xdr:col>
      <xdr:colOff>104775</xdr:colOff>
      <xdr:row>10</xdr:row>
      <xdr:rowOff>123826</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501163B8-F093-8E02-6623-2851A13C1A08}"/>
            </a:ext>
          </a:extLst>
        </xdr:cNvPr>
        <xdr:cNvSpPr/>
      </xdr:nvSpPr>
      <xdr:spPr>
        <a:xfrm>
          <a:off x="142874" y="1638302"/>
          <a:ext cx="1181101" cy="3905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u="none">
              <a:solidFill>
                <a:srgbClr val="00B050"/>
              </a:solidFill>
            </a:rPr>
            <a:t>Dashboard</a:t>
          </a:r>
        </a:p>
        <a:p>
          <a:pPr algn="l"/>
          <a:r>
            <a:rPr lang="en-US" sz="1100" baseline="0"/>
            <a:t> </a:t>
          </a:r>
          <a:endParaRPr lang="en-US" sz="1100"/>
        </a:p>
      </xdr:txBody>
    </xdr:sp>
    <xdr:clientData/>
  </xdr:twoCellAnchor>
  <xdr:twoCellAnchor>
    <xdr:from>
      <xdr:col>0</xdr:col>
      <xdr:colOff>219075</xdr:colOff>
      <xdr:row>12</xdr:row>
      <xdr:rowOff>76200</xdr:rowOff>
    </xdr:from>
    <xdr:to>
      <xdr:col>2</xdr:col>
      <xdr:colOff>104773</xdr:colOff>
      <xdr:row>14</xdr:row>
      <xdr:rowOff>19050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82E147B5-4449-278A-7DD8-23EAB7EC2DB6}"/>
            </a:ext>
          </a:extLst>
        </xdr:cNvPr>
        <xdr:cNvSpPr/>
      </xdr:nvSpPr>
      <xdr:spPr>
        <a:xfrm>
          <a:off x="219075" y="2362200"/>
          <a:ext cx="1104898" cy="323850"/>
        </a:xfrm>
        <a:prstGeom prst="roundRect">
          <a:avLst/>
        </a:prstGeom>
        <a:noFill/>
        <a:ln w="285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r>
            <a:rPr lang="en-US" sz="1600" b="1" u="none">
              <a:solidFill>
                <a:schemeClr val="bg1"/>
              </a:solidFill>
            </a:rPr>
            <a:t>summary</a:t>
          </a:r>
        </a:p>
        <a:p>
          <a:pPr algn="l"/>
          <a:r>
            <a:rPr lang="en-US" sz="1100" baseline="0"/>
            <a:t> </a:t>
          </a:r>
          <a:endParaRPr lang="en-US" sz="1100"/>
        </a:p>
      </xdr:txBody>
    </xdr:sp>
    <xdr:clientData/>
  </xdr:twoCellAnchor>
  <xdr:twoCellAnchor>
    <xdr:from>
      <xdr:col>0</xdr:col>
      <xdr:colOff>266700</xdr:colOff>
      <xdr:row>15</xdr:row>
      <xdr:rowOff>66674</xdr:rowOff>
    </xdr:from>
    <xdr:to>
      <xdr:col>1</xdr:col>
      <xdr:colOff>571500</xdr:colOff>
      <xdr:row>17</xdr:row>
      <xdr:rowOff>38099</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FE5CD8CF-4D6B-6BFD-503B-D0064C1F7C1F}"/>
            </a:ext>
          </a:extLst>
        </xdr:cNvPr>
        <xdr:cNvSpPr/>
      </xdr:nvSpPr>
      <xdr:spPr>
        <a:xfrm>
          <a:off x="266700" y="2924174"/>
          <a:ext cx="914400" cy="3524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Data</a:t>
          </a:r>
        </a:p>
      </xdr:txBody>
    </xdr:sp>
    <xdr:clientData/>
  </xdr:twoCellAnchor>
  <xdr:twoCellAnchor editAs="oneCell">
    <xdr:from>
      <xdr:col>2</xdr:col>
      <xdr:colOff>476248</xdr:colOff>
      <xdr:row>0</xdr:row>
      <xdr:rowOff>66674</xdr:rowOff>
    </xdr:from>
    <xdr:to>
      <xdr:col>12</xdr:col>
      <xdr:colOff>38100</xdr:colOff>
      <xdr:row>7</xdr:row>
      <xdr:rowOff>114300</xdr:rowOff>
    </xdr:to>
    <mc:AlternateContent xmlns:mc="http://schemas.openxmlformats.org/markup-compatibility/2006">
      <mc:Choice xmlns:tsle="http://schemas.microsoft.com/office/drawing/2012/timeslicer" Requires="tsle">
        <xdr:graphicFrame macro="">
          <xdr:nvGraphicFramePr>
            <xdr:cNvPr id="11" name="Date">
              <a:extLst>
                <a:ext uri="{FF2B5EF4-FFF2-40B4-BE49-F238E27FC236}">
                  <a16:creationId xmlns:a16="http://schemas.microsoft.com/office/drawing/2014/main" id="{FB1F143B-13AA-4CB7-BC63-1947233DBEF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695448" y="66674"/>
              <a:ext cx="5657852" cy="13811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314326</xdr:colOff>
      <xdr:row>7</xdr:row>
      <xdr:rowOff>152401</xdr:rowOff>
    </xdr:from>
    <xdr:to>
      <xdr:col>18</xdr:col>
      <xdr:colOff>61342</xdr:colOff>
      <xdr:row>11</xdr:row>
      <xdr:rowOff>114300</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01BCF609-74D9-4643-98FC-FED86D0E34C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533526" y="1485901"/>
              <a:ext cx="9500616" cy="723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57149</xdr:colOff>
      <xdr:row>0</xdr:row>
      <xdr:rowOff>114302</xdr:rowOff>
    </xdr:from>
    <xdr:to>
      <xdr:col>20</xdr:col>
      <xdr:colOff>47625</xdr:colOff>
      <xdr:row>5</xdr:row>
      <xdr:rowOff>76200</xdr:rowOff>
    </xdr:to>
    <mc:AlternateContent xmlns:mc="http://schemas.openxmlformats.org/markup-compatibility/2006">
      <mc:Choice xmlns:a14="http://schemas.microsoft.com/office/drawing/2010/main" Requires="a14">
        <xdr:graphicFrame macro="">
          <xdr:nvGraphicFramePr>
            <xdr:cNvPr id="13" name="Country">
              <a:extLst>
                <a:ext uri="{FF2B5EF4-FFF2-40B4-BE49-F238E27FC236}">
                  <a16:creationId xmlns:a16="http://schemas.microsoft.com/office/drawing/2014/main" id="{99A9E493-5DF8-4964-91E6-B054D833076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372349" y="114302"/>
              <a:ext cx="4867276" cy="914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xdr:colOff>
      <xdr:row>11</xdr:row>
      <xdr:rowOff>152400</xdr:rowOff>
    </xdr:from>
    <xdr:to>
      <xdr:col>5</xdr:col>
      <xdr:colOff>190500</xdr:colOff>
      <xdr:row>14</xdr:row>
      <xdr:rowOff>57150</xdr:rowOff>
    </xdr:to>
    <xdr:sp macro="" textlink="">
      <xdr:nvSpPr>
        <xdr:cNvPr id="15" name="Rectangle: Rounded Corners 14">
          <a:extLst>
            <a:ext uri="{FF2B5EF4-FFF2-40B4-BE49-F238E27FC236}">
              <a16:creationId xmlns:a16="http://schemas.microsoft.com/office/drawing/2014/main" id="{95808C96-AEF7-F4BC-598A-6C0253F91DB9}"/>
            </a:ext>
          </a:extLst>
        </xdr:cNvPr>
        <xdr:cNvSpPr/>
      </xdr:nvSpPr>
      <xdr:spPr>
        <a:xfrm>
          <a:off x="1828801" y="2247900"/>
          <a:ext cx="1409699" cy="47625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304801</xdr:colOff>
      <xdr:row>11</xdr:row>
      <xdr:rowOff>66675</xdr:rowOff>
    </xdr:from>
    <xdr:to>
      <xdr:col>7</xdr:col>
      <xdr:colOff>495300</xdr:colOff>
      <xdr:row>13</xdr:row>
      <xdr:rowOff>161925</xdr:rowOff>
    </xdr:to>
    <xdr:sp macro="" textlink="">
      <xdr:nvSpPr>
        <xdr:cNvPr id="18" name="Rectangle: Rounded Corners 17">
          <a:extLst>
            <a:ext uri="{FF2B5EF4-FFF2-40B4-BE49-F238E27FC236}">
              <a16:creationId xmlns:a16="http://schemas.microsoft.com/office/drawing/2014/main" id="{4717C7BB-5966-EE12-CC08-7AD536025CF2}"/>
            </a:ext>
          </a:extLst>
        </xdr:cNvPr>
        <xdr:cNvSpPr/>
      </xdr:nvSpPr>
      <xdr:spPr>
        <a:xfrm>
          <a:off x="3352801" y="2162175"/>
          <a:ext cx="1409699" cy="47625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381001</xdr:colOff>
      <xdr:row>11</xdr:row>
      <xdr:rowOff>57150</xdr:rowOff>
    </xdr:from>
    <xdr:to>
      <xdr:col>7</xdr:col>
      <xdr:colOff>571500</xdr:colOff>
      <xdr:row>13</xdr:row>
      <xdr:rowOff>152400</xdr:rowOff>
    </xdr:to>
    <xdr:sp macro="" textlink="">
      <xdr:nvSpPr>
        <xdr:cNvPr id="19" name="Rectangle: Rounded Corners 18">
          <a:extLst>
            <a:ext uri="{FF2B5EF4-FFF2-40B4-BE49-F238E27FC236}">
              <a16:creationId xmlns:a16="http://schemas.microsoft.com/office/drawing/2014/main" id="{265DECE5-E669-194C-93DA-C92E0467C0A5}"/>
            </a:ext>
          </a:extLst>
        </xdr:cNvPr>
        <xdr:cNvSpPr/>
      </xdr:nvSpPr>
      <xdr:spPr>
        <a:xfrm>
          <a:off x="3429001" y="2152650"/>
          <a:ext cx="1409699" cy="4762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US" sz="1100"/>
        </a:p>
      </xdr:txBody>
    </xdr:sp>
    <xdr:clientData/>
  </xdr:twoCellAnchor>
  <xdr:twoCellAnchor editAs="oneCell">
    <xdr:from>
      <xdr:col>5</xdr:col>
      <xdr:colOff>390526</xdr:colOff>
      <xdr:row>12</xdr:row>
      <xdr:rowOff>180975</xdr:rowOff>
    </xdr:from>
    <xdr:to>
      <xdr:col>6</xdr:col>
      <xdr:colOff>152400</xdr:colOff>
      <xdr:row>13</xdr:row>
      <xdr:rowOff>171448</xdr:rowOff>
    </xdr:to>
    <xdr:pic>
      <xdr:nvPicPr>
        <xdr:cNvPr id="25" name="Graphic 24" descr="Group of women with solid fill">
          <a:extLst>
            <a:ext uri="{FF2B5EF4-FFF2-40B4-BE49-F238E27FC236}">
              <a16:creationId xmlns:a16="http://schemas.microsoft.com/office/drawing/2014/main" id="{EB91C26F-496D-CF05-4BFF-8D9224A5331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438526" y="2466975"/>
          <a:ext cx="371474" cy="180973"/>
        </a:xfrm>
        <a:prstGeom prst="rect">
          <a:avLst/>
        </a:prstGeom>
      </xdr:spPr>
    </xdr:pic>
    <xdr:clientData/>
  </xdr:twoCellAnchor>
  <xdr:twoCellAnchor>
    <xdr:from>
      <xdr:col>5</xdr:col>
      <xdr:colOff>419100</xdr:colOff>
      <xdr:row>11</xdr:row>
      <xdr:rowOff>152400</xdr:rowOff>
    </xdr:from>
    <xdr:to>
      <xdr:col>8</xdr:col>
      <xdr:colOff>9525</xdr:colOff>
      <xdr:row>12</xdr:row>
      <xdr:rowOff>180975</xdr:rowOff>
    </xdr:to>
    <xdr:sp macro="" textlink="">
      <xdr:nvSpPr>
        <xdr:cNvPr id="34" name="TextBox 33">
          <a:extLst>
            <a:ext uri="{FF2B5EF4-FFF2-40B4-BE49-F238E27FC236}">
              <a16:creationId xmlns:a16="http://schemas.microsoft.com/office/drawing/2014/main" id="{99B53F28-7BED-DDE9-E8F9-5125080ABF96}"/>
            </a:ext>
          </a:extLst>
        </xdr:cNvPr>
        <xdr:cNvSpPr txBox="1"/>
      </xdr:nvSpPr>
      <xdr:spPr>
        <a:xfrm>
          <a:off x="3467100" y="2247900"/>
          <a:ext cx="14192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Total Quantity</a:t>
          </a:r>
          <a:r>
            <a:rPr lang="en-US" sz="800" b="1" baseline="0"/>
            <a:t> sold</a:t>
          </a:r>
          <a:endParaRPr lang="en-US" sz="800" b="1"/>
        </a:p>
      </xdr:txBody>
    </xdr:sp>
    <xdr:clientData/>
  </xdr:twoCellAnchor>
  <xdr:twoCellAnchor>
    <xdr:from>
      <xdr:col>6</xdr:col>
      <xdr:colOff>114300</xdr:colOff>
      <xdr:row>12</xdr:row>
      <xdr:rowOff>114300</xdr:rowOff>
    </xdr:from>
    <xdr:to>
      <xdr:col>7</xdr:col>
      <xdr:colOff>590550</xdr:colOff>
      <xdr:row>13</xdr:row>
      <xdr:rowOff>180975</xdr:rowOff>
    </xdr:to>
    <xdr:sp macro="" textlink="pivot!B13">
      <xdr:nvSpPr>
        <xdr:cNvPr id="37" name="TextBox 36">
          <a:extLst>
            <a:ext uri="{FF2B5EF4-FFF2-40B4-BE49-F238E27FC236}">
              <a16:creationId xmlns:a16="http://schemas.microsoft.com/office/drawing/2014/main" id="{7F560B05-15A3-5821-8064-467A14646A43}"/>
            </a:ext>
          </a:extLst>
        </xdr:cNvPr>
        <xdr:cNvSpPr txBox="1"/>
      </xdr:nvSpPr>
      <xdr:spPr>
        <a:xfrm>
          <a:off x="3771900" y="2400300"/>
          <a:ext cx="10858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6660D7-AF6A-4AF8-8C2A-6D6C6ADEA27D}" type="TxLink">
            <a:rPr lang="en-US" sz="1100" b="0" i="0" u="none" strike="noStrike">
              <a:solidFill>
                <a:srgbClr val="000000"/>
              </a:solidFill>
              <a:latin typeface="Calibri"/>
              <a:cs typeface="Calibri"/>
            </a:rPr>
            <a:t> $127,199 </a:t>
          </a:fld>
          <a:endParaRPr lang="en-US" sz="1100">
            <a:solidFill>
              <a:schemeClr val="accent6">
                <a:lumMod val="75000"/>
              </a:schemeClr>
            </a:solidFill>
          </a:endParaRPr>
        </a:p>
      </xdr:txBody>
    </xdr:sp>
    <xdr:clientData/>
  </xdr:twoCellAnchor>
  <xdr:twoCellAnchor>
    <xdr:from>
      <xdr:col>3</xdr:col>
      <xdr:colOff>85726</xdr:colOff>
      <xdr:row>11</xdr:row>
      <xdr:rowOff>152400</xdr:rowOff>
    </xdr:from>
    <xdr:to>
      <xdr:col>5</xdr:col>
      <xdr:colOff>276225</xdr:colOff>
      <xdr:row>14</xdr:row>
      <xdr:rowOff>57150</xdr:rowOff>
    </xdr:to>
    <xdr:sp macro="" textlink="">
      <xdr:nvSpPr>
        <xdr:cNvPr id="43" name="Rectangle: Rounded Corners 42">
          <a:extLst>
            <a:ext uri="{FF2B5EF4-FFF2-40B4-BE49-F238E27FC236}">
              <a16:creationId xmlns:a16="http://schemas.microsoft.com/office/drawing/2014/main" id="{04C0D180-CEB1-7229-92F6-ABDA1EFE5517}"/>
            </a:ext>
          </a:extLst>
        </xdr:cNvPr>
        <xdr:cNvSpPr/>
      </xdr:nvSpPr>
      <xdr:spPr>
        <a:xfrm>
          <a:off x="1914526" y="2247900"/>
          <a:ext cx="1409699" cy="4762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85725</xdr:colOff>
      <xdr:row>12</xdr:row>
      <xdr:rowOff>95249</xdr:rowOff>
    </xdr:from>
    <xdr:to>
      <xdr:col>3</xdr:col>
      <xdr:colOff>457200</xdr:colOff>
      <xdr:row>14</xdr:row>
      <xdr:rowOff>85724</xdr:rowOff>
    </xdr:to>
    <xdr:pic>
      <xdr:nvPicPr>
        <xdr:cNvPr id="23" name="Graphic 22" descr="Bar graph with downward trend with solid fill">
          <a:extLst>
            <a:ext uri="{FF2B5EF4-FFF2-40B4-BE49-F238E27FC236}">
              <a16:creationId xmlns:a16="http://schemas.microsoft.com/office/drawing/2014/main" id="{A78BBDC7-8C87-2BF2-964F-AC60D247669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14525" y="2381249"/>
          <a:ext cx="371475" cy="371475"/>
        </a:xfrm>
        <a:prstGeom prst="roundRect">
          <a:avLst/>
        </a:prstGeom>
      </xdr:spPr>
    </xdr:pic>
    <xdr:clientData/>
  </xdr:twoCellAnchor>
  <xdr:twoCellAnchor>
    <xdr:from>
      <xdr:col>3</xdr:col>
      <xdr:colOff>266699</xdr:colOff>
      <xdr:row>12</xdr:row>
      <xdr:rowOff>76198</xdr:rowOff>
    </xdr:from>
    <xdr:to>
      <xdr:col>5</xdr:col>
      <xdr:colOff>123825</xdr:colOff>
      <xdr:row>14</xdr:row>
      <xdr:rowOff>171449</xdr:rowOff>
    </xdr:to>
    <xdr:sp macro="" textlink="pivot!B12">
      <xdr:nvSpPr>
        <xdr:cNvPr id="36" name="TextBox 35">
          <a:extLst>
            <a:ext uri="{FF2B5EF4-FFF2-40B4-BE49-F238E27FC236}">
              <a16:creationId xmlns:a16="http://schemas.microsoft.com/office/drawing/2014/main" id="{761DC1F4-33C8-7931-0F62-5EBDA227BC9F}"/>
            </a:ext>
          </a:extLst>
        </xdr:cNvPr>
        <xdr:cNvSpPr txBox="1"/>
      </xdr:nvSpPr>
      <xdr:spPr>
        <a:xfrm>
          <a:off x="2095499" y="2362198"/>
          <a:ext cx="1076326" cy="476251"/>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r"/>
          <a:fld id="{55567DD0-7845-4C3F-B97E-B0F6A3CEE70E}" type="TxLink">
            <a:rPr lang="en-US" sz="1400" b="0" i="0" u="none" strike="noStrike">
              <a:solidFill>
                <a:srgbClr val="FFC000"/>
              </a:solidFill>
              <a:latin typeface="Calibri"/>
              <a:cs typeface="Calibri"/>
            </a:rPr>
            <a:pPr algn="r"/>
            <a:t> $3,587,102 </a:t>
          </a:fld>
          <a:endParaRPr lang="en-US" sz="1400">
            <a:solidFill>
              <a:srgbClr val="FFC000"/>
            </a:solidFill>
          </a:endParaRPr>
        </a:p>
      </xdr:txBody>
    </xdr:sp>
    <xdr:clientData/>
  </xdr:twoCellAnchor>
  <xdr:twoCellAnchor>
    <xdr:from>
      <xdr:col>3</xdr:col>
      <xdr:colOff>152400</xdr:colOff>
      <xdr:row>11</xdr:row>
      <xdr:rowOff>123824</xdr:rowOff>
    </xdr:from>
    <xdr:to>
      <xdr:col>5</xdr:col>
      <xdr:colOff>361950</xdr:colOff>
      <xdr:row>12</xdr:row>
      <xdr:rowOff>133350</xdr:rowOff>
    </xdr:to>
    <xdr:sp macro="" textlink="">
      <xdr:nvSpPr>
        <xdr:cNvPr id="35" name="TextBox 34">
          <a:extLst>
            <a:ext uri="{FF2B5EF4-FFF2-40B4-BE49-F238E27FC236}">
              <a16:creationId xmlns:a16="http://schemas.microsoft.com/office/drawing/2014/main" id="{C9E8856F-6D3A-1DE6-6951-92984EB07E8D}"/>
            </a:ext>
          </a:extLst>
        </xdr:cNvPr>
        <xdr:cNvSpPr txBox="1"/>
      </xdr:nvSpPr>
      <xdr:spPr>
        <a:xfrm>
          <a:off x="1981200" y="2219324"/>
          <a:ext cx="1428750"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Revenue</a:t>
          </a:r>
        </a:p>
      </xdr:txBody>
    </xdr:sp>
    <xdr:clientData/>
  </xdr:twoCellAnchor>
  <xdr:twoCellAnchor>
    <xdr:from>
      <xdr:col>8</xdr:col>
      <xdr:colOff>133349</xdr:colOff>
      <xdr:row>11</xdr:row>
      <xdr:rowOff>152400</xdr:rowOff>
    </xdr:from>
    <xdr:to>
      <xdr:col>18</xdr:col>
      <xdr:colOff>114300</xdr:colOff>
      <xdr:row>27</xdr:row>
      <xdr:rowOff>85725</xdr:rowOff>
    </xdr:to>
    <xdr:sp macro="" textlink="">
      <xdr:nvSpPr>
        <xdr:cNvPr id="44" name="Rectangle 43">
          <a:extLst>
            <a:ext uri="{FF2B5EF4-FFF2-40B4-BE49-F238E27FC236}">
              <a16:creationId xmlns:a16="http://schemas.microsoft.com/office/drawing/2014/main" id="{4BFC61D8-932F-5499-E143-D36079CB3800}"/>
            </a:ext>
          </a:extLst>
        </xdr:cNvPr>
        <xdr:cNvSpPr/>
      </xdr:nvSpPr>
      <xdr:spPr>
        <a:xfrm>
          <a:off x="5010149" y="2247900"/>
          <a:ext cx="6076951" cy="29813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38099</xdr:colOff>
      <xdr:row>14</xdr:row>
      <xdr:rowOff>47625</xdr:rowOff>
    </xdr:from>
    <xdr:to>
      <xdr:col>8</xdr:col>
      <xdr:colOff>28574</xdr:colOff>
      <xdr:row>27</xdr:row>
      <xdr:rowOff>28575</xdr:rowOff>
    </xdr:to>
    <xdr:sp macro="" textlink="">
      <xdr:nvSpPr>
        <xdr:cNvPr id="45" name="Rectangle 44">
          <a:extLst>
            <a:ext uri="{FF2B5EF4-FFF2-40B4-BE49-F238E27FC236}">
              <a16:creationId xmlns:a16="http://schemas.microsoft.com/office/drawing/2014/main" id="{2646DEE8-C7CA-F905-807C-91A764D30307}"/>
            </a:ext>
          </a:extLst>
        </xdr:cNvPr>
        <xdr:cNvSpPr/>
      </xdr:nvSpPr>
      <xdr:spPr>
        <a:xfrm>
          <a:off x="1257299" y="2714625"/>
          <a:ext cx="3648075" cy="24574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95250</xdr:colOff>
      <xdr:row>10</xdr:row>
      <xdr:rowOff>133350</xdr:rowOff>
    </xdr:from>
    <xdr:to>
      <xdr:col>14</xdr:col>
      <xdr:colOff>247649</xdr:colOff>
      <xdr:row>17</xdr:row>
      <xdr:rowOff>95250</xdr:rowOff>
    </xdr:to>
    <xdr:graphicFrame macro="">
      <xdr:nvGraphicFramePr>
        <xdr:cNvPr id="46" name="Chart 45">
          <a:extLst>
            <a:ext uri="{FF2B5EF4-FFF2-40B4-BE49-F238E27FC236}">
              <a16:creationId xmlns:a16="http://schemas.microsoft.com/office/drawing/2014/main" id="{C590C9AF-FBAC-4AC6-A23E-114D63104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47626</xdr:colOff>
      <xdr:row>14</xdr:row>
      <xdr:rowOff>57150</xdr:rowOff>
    </xdr:from>
    <xdr:to>
      <xdr:col>8</xdr:col>
      <xdr:colOff>0</xdr:colOff>
      <xdr:row>26</xdr:row>
      <xdr:rowOff>142875</xdr:rowOff>
    </xdr:to>
    <xdr:graphicFrame macro="">
      <xdr:nvGraphicFramePr>
        <xdr:cNvPr id="48" name="Chart 47">
          <a:extLst>
            <a:ext uri="{FF2B5EF4-FFF2-40B4-BE49-F238E27FC236}">
              <a16:creationId xmlns:a16="http://schemas.microsoft.com/office/drawing/2014/main" id="{DAC1B1BE-2865-476F-8CD7-302F7F5DF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76199</xdr:colOff>
      <xdr:row>17</xdr:row>
      <xdr:rowOff>47624</xdr:rowOff>
    </xdr:from>
    <xdr:to>
      <xdr:col>13</xdr:col>
      <xdr:colOff>495300</xdr:colOff>
      <xdr:row>27</xdr:row>
      <xdr:rowOff>52385</xdr:rowOff>
    </xdr:to>
    <xdr:graphicFrame macro="">
      <xdr:nvGraphicFramePr>
        <xdr:cNvPr id="49" name="Chart 48">
          <a:extLst>
            <a:ext uri="{FF2B5EF4-FFF2-40B4-BE49-F238E27FC236}">
              <a16:creationId xmlns:a16="http://schemas.microsoft.com/office/drawing/2014/main" id="{282B6F61-07FE-46B7-9F13-8F591ED48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266700</xdr:colOff>
      <xdr:row>12</xdr:row>
      <xdr:rowOff>161926</xdr:rowOff>
    </xdr:from>
    <xdr:to>
      <xdr:col>19</xdr:col>
      <xdr:colOff>323850</xdr:colOff>
      <xdr:row>24</xdr:row>
      <xdr:rowOff>4762</xdr:rowOff>
    </xdr:to>
    <xdr:graphicFrame macro="">
      <xdr:nvGraphicFramePr>
        <xdr:cNvPr id="50" name="Chart 49">
          <a:extLst>
            <a:ext uri="{FF2B5EF4-FFF2-40B4-BE49-F238E27FC236}">
              <a16:creationId xmlns:a16="http://schemas.microsoft.com/office/drawing/2014/main" id="{38060F46-051F-45E9-97B1-7289B7983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8</xdr:col>
      <xdr:colOff>361950</xdr:colOff>
      <xdr:row>3</xdr:row>
      <xdr:rowOff>0</xdr:rowOff>
    </xdr:from>
    <xdr:ext cx="184731" cy="264560"/>
    <xdr:sp macro="" textlink="">
      <xdr:nvSpPr>
        <xdr:cNvPr id="51" name="TextBox 50">
          <a:extLst>
            <a:ext uri="{FF2B5EF4-FFF2-40B4-BE49-F238E27FC236}">
              <a16:creationId xmlns:a16="http://schemas.microsoft.com/office/drawing/2014/main" id="{48B46CA8-958B-66C3-3798-3657430EE27A}"/>
            </a:ext>
          </a:extLst>
        </xdr:cNvPr>
        <xdr:cNvSpPr txBox="1"/>
      </xdr:nvSpPr>
      <xdr:spPr>
        <a:xfrm>
          <a:off x="5238750" y="571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10</xdr:col>
      <xdr:colOff>0</xdr:colOff>
      <xdr:row>0</xdr:row>
      <xdr:rowOff>28575</xdr:rowOff>
    </xdr:from>
    <xdr:to>
      <xdr:col>11</xdr:col>
      <xdr:colOff>38100</xdr:colOff>
      <xdr:row>1</xdr:row>
      <xdr:rowOff>114300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EB10975-7051-4185-BA36-6A36E583A92D}"/>
            </a:ext>
          </a:extLst>
        </xdr:cNvPr>
        <xdr:cNvSpPr/>
      </xdr:nvSpPr>
      <xdr:spPr>
        <a:xfrm>
          <a:off x="0" y="28575"/>
          <a:ext cx="914400" cy="276225"/>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Back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8.534178703703" createdVersion="8" refreshedVersion="8" minRefreshableVersion="3" recordCount="525" xr:uid="{39958E21-AFA6-47A5-A560-3C29D388DC95}">
  <cacheSource type="worksheet">
    <worksheetSource ref="A1:J526" sheet="data"/>
  </cacheSource>
  <cacheFields count="10">
    <cacheField name="Country" numFmtId="0">
      <sharedItems count="5">
        <s v="Canada"/>
        <s v="India"/>
        <s v="Germany"/>
        <s v="United States"/>
        <s v="France"/>
      </sharedItems>
    </cacheField>
    <cacheField name="Product" numFmtId="0">
      <sharedItems count="6">
        <s v="Binder"/>
        <s v="Stapler"/>
        <s v="Shredder"/>
        <s v="Peforator"/>
        <s v="USB"/>
        <s v="Pen"/>
      </sharedItems>
    </cacheField>
    <cacheField name="Units_Sold" numFmtId="0">
      <sharedItems containsSemiMixedTypes="0" containsString="0" containsNumber="1" minValue="200" maxValue="4492.5"/>
    </cacheField>
    <cacheField name="Price" numFmtId="0">
      <sharedItems containsSemiMixedTypes="0" containsString="0" containsNumber="1" containsInteger="1" minValue="1" maxValue="6"/>
    </cacheField>
    <cacheField name="Cost" numFmtId="0">
      <sharedItems containsSemiMixedTypes="0" containsString="0" containsNumber="1" minValue="0.2" maxValue="2.75"/>
    </cacheField>
    <cacheField name="Date" numFmtId="14">
      <sharedItems containsSemiMixedTypes="0" containsNonDate="0" containsDate="1" containsString="0" minDate="2019-01-01T00:00:00" maxDate="2019-12-02T00:00:00" count="12">
        <d v="2019-02-01T00:00:00"/>
        <d v="2019-06-01T00:00:00"/>
        <d v="2019-07-01T00:00:00"/>
        <d v="2019-08-01T00:00:00"/>
        <d v="2019-09-01T00:00:00"/>
        <d v="2019-10-01T00:00:00"/>
        <d v="2019-12-01T00:00:00"/>
        <d v="2019-01-01T00:00:00"/>
        <d v="2019-05-01T00:00:00"/>
        <d v="2019-04-01T00:00:00"/>
        <d v="2019-11-01T00:00:00"/>
        <d v="2019-03-01T00:00:00"/>
      </sharedItems>
    </cacheField>
    <cacheField name="Month_Number" numFmtId="0">
      <sharedItems containsSemiMixedTypes="0" containsString="0" containsNumber="1" containsInteger="1" minValue="1" maxValue="12"/>
    </cacheField>
    <cacheField name="Month" numFmtId="0">
      <sharedItems count="12">
        <s v="February"/>
        <s v="June"/>
        <s v="July"/>
        <s v="August"/>
        <s v="September"/>
        <s v="October"/>
        <s v="December"/>
        <s v="January"/>
        <s v="May"/>
        <s v="April"/>
        <s v="November"/>
        <s v="March"/>
      </sharedItems>
    </cacheField>
    <cacheField name="Year" numFmtId="0">
      <sharedItems containsSemiMixedTypes="0" containsString="0" containsNumber="1" containsInteger="1" minValue="2019" maxValue="2019" count="1">
        <n v="2019"/>
      </sharedItems>
    </cacheField>
    <cacheField name="Sales" numFmtId="0">
      <sharedItems containsSemiMixedTypes="0" containsString="0" containsNumber="1" minValue="200" maxValue="23985"/>
    </cacheField>
  </cacheFields>
  <extLst>
    <ext xmlns:x14="http://schemas.microsoft.com/office/spreadsheetml/2009/9/main" uri="{725AE2AE-9491-48be-B2B4-4EB974FC3084}">
      <x14:pivotCacheDefinition pivotCacheId="1319855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5">
  <r>
    <x v="0"/>
    <x v="0"/>
    <n v="292"/>
    <n v="5"/>
    <n v="2"/>
    <x v="0"/>
    <n v="2"/>
    <x v="0"/>
    <x v="0"/>
    <n v="1460"/>
  </r>
  <r>
    <x v="1"/>
    <x v="0"/>
    <n v="974"/>
    <n v="5"/>
    <n v="2"/>
    <x v="0"/>
    <n v="2"/>
    <x v="0"/>
    <x v="0"/>
    <n v="4870"/>
  </r>
  <r>
    <x v="0"/>
    <x v="0"/>
    <n v="2518"/>
    <n v="5"/>
    <n v="2"/>
    <x v="1"/>
    <n v="6"/>
    <x v="1"/>
    <x v="0"/>
    <n v="12590"/>
  </r>
  <r>
    <x v="2"/>
    <x v="0"/>
    <n v="1006"/>
    <n v="5"/>
    <n v="2"/>
    <x v="1"/>
    <n v="6"/>
    <x v="1"/>
    <x v="0"/>
    <n v="5030"/>
  </r>
  <r>
    <x v="2"/>
    <x v="0"/>
    <n v="367"/>
    <n v="5"/>
    <n v="2"/>
    <x v="2"/>
    <n v="7"/>
    <x v="2"/>
    <x v="0"/>
    <n v="1835"/>
  </r>
  <r>
    <x v="1"/>
    <x v="0"/>
    <n v="883"/>
    <n v="5"/>
    <n v="2"/>
    <x v="3"/>
    <n v="8"/>
    <x v="3"/>
    <x v="0"/>
    <n v="4415"/>
  </r>
  <r>
    <x v="1"/>
    <x v="0"/>
    <n v="2472"/>
    <n v="5"/>
    <n v="2"/>
    <x v="4"/>
    <n v="9"/>
    <x v="4"/>
    <x v="0"/>
    <n v="12360"/>
  </r>
  <r>
    <x v="3"/>
    <x v="0"/>
    <n v="1143"/>
    <n v="5"/>
    <n v="2"/>
    <x v="5"/>
    <n v="10"/>
    <x v="5"/>
    <x v="0"/>
    <n v="5715"/>
  </r>
  <r>
    <x v="0"/>
    <x v="0"/>
    <n v="1817"/>
    <n v="5"/>
    <n v="2"/>
    <x v="6"/>
    <n v="12"/>
    <x v="6"/>
    <x v="0"/>
    <n v="9085"/>
  </r>
  <r>
    <x v="2"/>
    <x v="0"/>
    <n v="1513"/>
    <n v="5"/>
    <n v="2"/>
    <x v="6"/>
    <n v="12"/>
    <x v="6"/>
    <x v="0"/>
    <n v="7565"/>
  </r>
  <r>
    <x v="4"/>
    <x v="0"/>
    <n v="3945"/>
    <n v="5"/>
    <n v="2"/>
    <x v="7"/>
    <n v="1"/>
    <x v="7"/>
    <x v="0"/>
    <n v="19725"/>
  </r>
  <r>
    <x v="4"/>
    <x v="0"/>
    <n v="2296"/>
    <n v="5"/>
    <n v="2"/>
    <x v="0"/>
    <n v="2"/>
    <x v="0"/>
    <x v="0"/>
    <n v="11480"/>
  </r>
  <r>
    <x v="4"/>
    <x v="0"/>
    <n v="1030"/>
    <n v="5"/>
    <n v="2"/>
    <x v="8"/>
    <n v="5"/>
    <x v="8"/>
    <x v="0"/>
    <n v="5150"/>
  </r>
  <r>
    <x v="3"/>
    <x v="0"/>
    <n v="1514"/>
    <n v="5"/>
    <n v="2"/>
    <x v="0"/>
    <n v="2"/>
    <x v="0"/>
    <x v="0"/>
    <n v="7570"/>
  </r>
  <r>
    <x v="3"/>
    <x v="0"/>
    <n v="4492.5"/>
    <n v="5"/>
    <n v="2"/>
    <x v="9"/>
    <n v="4"/>
    <x v="9"/>
    <x v="0"/>
    <n v="22462.5"/>
  </r>
  <r>
    <x v="3"/>
    <x v="0"/>
    <n v="727"/>
    <n v="5"/>
    <n v="2"/>
    <x v="1"/>
    <n v="6"/>
    <x v="1"/>
    <x v="0"/>
    <n v="3635"/>
  </r>
  <r>
    <x v="4"/>
    <x v="0"/>
    <n v="787"/>
    <n v="5"/>
    <n v="2"/>
    <x v="1"/>
    <n v="6"/>
    <x v="1"/>
    <x v="0"/>
    <n v="3935"/>
  </r>
  <r>
    <x v="1"/>
    <x v="0"/>
    <n v="1823"/>
    <n v="5"/>
    <n v="2"/>
    <x v="2"/>
    <n v="7"/>
    <x v="2"/>
    <x v="0"/>
    <n v="9115"/>
  </r>
  <r>
    <x v="2"/>
    <x v="0"/>
    <n v="747"/>
    <n v="5"/>
    <n v="2"/>
    <x v="4"/>
    <n v="9"/>
    <x v="4"/>
    <x v="0"/>
    <n v="3735"/>
  </r>
  <r>
    <x v="3"/>
    <x v="0"/>
    <n v="2905"/>
    <n v="5"/>
    <n v="2"/>
    <x v="10"/>
    <n v="11"/>
    <x v="10"/>
    <x v="0"/>
    <n v="14525"/>
  </r>
  <r>
    <x v="4"/>
    <x v="0"/>
    <n v="2155"/>
    <n v="5"/>
    <n v="2"/>
    <x v="6"/>
    <n v="12"/>
    <x v="6"/>
    <x v="0"/>
    <n v="10775"/>
  </r>
  <r>
    <x v="0"/>
    <x v="0"/>
    <n v="2363"/>
    <n v="5"/>
    <n v="2"/>
    <x v="0"/>
    <n v="2"/>
    <x v="0"/>
    <x v="0"/>
    <n v="11815"/>
  </r>
  <r>
    <x v="4"/>
    <x v="0"/>
    <n v="918"/>
    <n v="5"/>
    <n v="2"/>
    <x v="8"/>
    <n v="5"/>
    <x v="8"/>
    <x v="0"/>
    <n v="4590"/>
  </r>
  <r>
    <x v="2"/>
    <x v="0"/>
    <n v="1728"/>
    <n v="5"/>
    <n v="2"/>
    <x v="8"/>
    <n v="5"/>
    <x v="8"/>
    <x v="0"/>
    <n v="8640"/>
  </r>
  <r>
    <x v="3"/>
    <x v="0"/>
    <n v="1142"/>
    <n v="5"/>
    <n v="2"/>
    <x v="1"/>
    <n v="6"/>
    <x v="1"/>
    <x v="0"/>
    <n v="5710"/>
  </r>
  <r>
    <x v="1"/>
    <x v="0"/>
    <n v="662"/>
    <n v="5"/>
    <n v="2"/>
    <x v="1"/>
    <n v="6"/>
    <x v="1"/>
    <x v="0"/>
    <n v="3310"/>
  </r>
  <r>
    <x v="0"/>
    <x v="0"/>
    <n v="1295"/>
    <n v="5"/>
    <n v="2"/>
    <x v="5"/>
    <n v="10"/>
    <x v="5"/>
    <x v="0"/>
    <n v="6475"/>
  </r>
  <r>
    <x v="0"/>
    <x v="0"/>
    <n v="1916"/>
    <n v="5"/>
    <n v="2"/>
    <x v="6"/>
    <n v="12"/>
    <x v="6"/>
    <x v="0"/>
    <n v="9580"/>
  </r>
  <r>
    <x v="0"/>
    <x v="0"/>
    <n v="2852"/>
    <n v="5"/>
    <n v="2"/>
    <x v="6"/>
    <n v="12"/>
    <x v="6"/>
    <x v="0"/>
    <n v="14260"/>
  </r>
  <r>
    <x v="0"/>
    <x v="0"/>
    <n v="2729"/>
    <n v="5"/>
    <n v="2"/>
    <x v="6"/>
    <n v="12"/>
    <x v="6"/>
    <x v="0"/>
    <n v="13645"/>
  </r>
  <r>
    <x v="4"/>
    <x v="0"/>
    <n v="1055"/>
    <n v="5"/>
    <n v="2"/>
    <x v="6"/>
    <n v="12"/>
    <x v="6"/>
    <x v="0"/>
    <n v="5275"/>
  </r>
  <r>
    <x v="1"/>
    <x v="0"/>
    <n v="1084"/>
    <n v="5"/>
    <n v="2"/>
    <x v="6"/>
    <n v="12"/>
    <x v="6"/>
    <x v="0"/>
    <n v="5420"/>
  </r>
  <r>
    <x v="4"/>
    <x v="0"/>
    <n v="2434.5"/>
    <n v="5"/>
    <n v="2"/>
    <x v="7"/>
    <n v="1"/>
    <x v="7"/>
    <x v="0"/>
    <n v="12172.5"/>
  </r>
  <r>
    <x v="0"/>
    <x v="0"/>
    <n v="1774"/>
    <n v="5"/>
    <n v="2"/>
    <x v="11"/>
    <n v="3"/>
    <x v="11"/>
    <x v="0"/>
    <n v="8870"/>
  </r>
  <r>
    <x v="4"/>
    <x v="0"/>
    <n v="1901"/>
    <n v="5"/>
    <n v="2"/>
    <x v="1"/>
    <n v="6"/>
    <x v="1"/>
    <x v="0"/>
    <n v="9505"/>
  </r>
  <r>
    <x v="2"/>
    <x v="0"/>
    <n v="689"/>
    <n v="5"/>
    <n v="2"/>
    <x v="1"/>
    <n v="6"/>
    <x v="1"/>
    <x v="0"/>
    <n v="3445"/>
  </r>
  <r>
    <x v="2"/>
    <x v="0"/>
    <n v="1570"/>
    <n v="5"/>
    <n v="2"/>
    <x v="1"/>
    <n v="6"/>
    <x v="1"/>
    <x v="0"/>
    <n v="7850"/>
  </r>
  <r>
    <x v="3"/>
    <x v="0"/>
    <n v="1369.5"/>
    <n v="5"/>
    <n v="2"/>
    <x v="2"/>
    <n v="7"/>
    <x v="2"/>
    <x v="0"/>
    <n v="6847.5"/>
  </r>
  <r>
    <x v="0"/>
    <x v="0"/>
    <n v="2009"/>
    <n v="5"/>
    <n v="2"/>
    <x v="5"/>
    <n v="10"/>
    <x v="5"/>
    <x v="0"/>
    <n v="10045"/>
  </r>
  <r>
    <x v="4"/>
    <x v="0"/>
    <n v="1287"/>
    <n v="5"/>
    <n v="2"/>
    <x v="6"/>
    <n v="12"/>
    <x v="6"/>
    <x v="0"/>
    <n v="6435"/>
  </r>
  <r>
    <x v="2"/>
    <x v="0"/>
    <n v="1706"/>
    <n v="5"/>
    <n v="2"/>
    <x v="6"/>
    <n v="12"/>
    <x v="6"/>
    <x v="0"/>
    <n v="8530"/>
  </r>
  <r>
    <x v="1"/>
    <x v="0"/>
    <n v="2031"/>
    <n v="5"/>
    <n v="2"/>
    <x v="5"/>
    <n v="10"/>
    <x v="5"/>
    <x v="0"/>
    <n v="10155"/>
  </r>
  <r>
    <x v="0"/>
    <x v="0"/>
    <n v="4251"/>
    <n v="5"/>
    <n v="2"/>
    <x v="7"/>
    <n v="1"/>
    <x v="7"/>
    <x v="0"/>
    <n v="21255"/>
  </r>
  <r>
    <x v="2"/>
    <x v="0"/>
    <n v="795"/>
    <n v="5"/>
    <n v="2"/>
    <x v="11"/>
    <n v="3"/>
    <x v="11"/>
    <x v="0"/>
    <n v="3975"/>
  </r>
  <r>
    <x v="2"/>
    <x v="0"/>
    <n v="1414.5"/>
    <n v="5"/>
    <n v="2"/>
    <x v="9"/>
    <n v="4"/>
    <x v="9"/>
    <x v="0"/>
    <n v="7072.5"/>
  </r>
  <r>
    <x v="3"/>
    <x v="0"/>
    <n v="2918"/>
    <n v="5"/>
    <n v="2"/>
    <x v="8"/>
    <n v="5"/>
    <x v="8"/>
    <x v="0"/>
    <n v="14590"/>
  </r>
  <r>
    <x v="3"/>
    <x v="0"/>
    <n v="3450"/>
    <n v="5"/>
    <n v="2"/>
    <x v="2"/>
    <n v="7"/>
    <x v="2"/>
    <x v="0"/>
    <n v="17250"/>
  </r>
  <r>
    <x v="4"/>
    <x v="0"/>
    <n v="2988"/>
    <n v="5"/>
    <n v="2"/>
    <x v="2"/>
    <n v="7"/>
    <x v="2"/>
    <x v="0"/>
    <n v="14940"/>
  </r>
  <r>
    <x v="0"/>
    <x v="0"/>
    <n v="218"/>
    <n v="5"/>
    <n v="2"/>
    <x v="4"/>
    <n v="9"/>
    <x v="4"/>
    <x v="0"/>
    <n v="1090"/>
  </r>
  <r>
    <x v="0"/>
    <x v="0"/>
    <n v="2074"/>
    <n v="5"/>
    <n v="2"/>
    <x v="4"/>
    <n v="9"/>
    <x v="4"/>
    <x v="0"/>
    <n v="10370"/>
  </r>
  <r>
    <x v="3"/>
    <x v="0"/>
    <n v="1056"/>
    <n v="5"/>
    <n v="2"/>
    <x v="4"/>
    <n v="9"/>
    <x v="4"/>
    <x v="0"/>
    <n v="5280"/>
  </r>
  <r>
    <x v="3"/>
    <x v="0"/>
    <n v="274"/>
    <n v="5"/>
    <n v="2"/>
    <x v="6"/>
    <n v="12"/>
    <x v="6"/>
    <x v="0"/>
    <n v="1370"/>
  </r>
  <r>
    <x v="1"/>
    <x v="0"/>
    <n v="1138"/>
    <n v="5"/>
    <n v="2"/>
    <x v="6"/>
    <n v="12"/>
    <x v="6"/>
    <x v="0"/>
    <n v="5690"/>
  </r>
  <r>
    <x v="2"/>
    <x v="0"/>
    <n v="1372"/>
    <n v="5"/>
    <n v="2"/>
    <x v="7"/>
    <n v="1"/>
    <x v="7"/>
    <x v="0"/>
    <n v="6860"/>
  </r>
  <r>
    <x v="1"/>
    <x v="0"/>
    <n v="2689"/>
    <n v="5"/>
    <n v="2"/>
    <x v="5"/>
    <n v="10"/>
    <x v="5"/>
    <x v="0"/>
    <n v="13445"/>
  </r>
  <r>
    <x v="0"/>
    <x v="0"/>
    <n v="2431"/>
    <n v="5"/>
    <n v="2"/>
    <x v="6"/>
    <n v="12"/>
    <x v="6"/>
    <x v="0"/>
    <n v="12155"/>
  </r>
  <r>
    <x v="4"/>
    <x v="0"/>
    <n v="1303"/>
    <n v="5"/>
    <n v="2"/>
    <x v="0"/>
    <n v="2"/>
    <x v="0"/>
    <x v="0"/>
    <n v="6515"/>
  </r>
  <r>
    <x v="3"/>
    <x v="0"/>
    <n v="2992"/>
    <n v="5"/>
    <n v="2"/>
    <x v="11"/>
    <n v="3"/>
    <x v="11"/>
    <x v="0"/>
    <n v="14960"/>
  </r>
  <r>
    <x v="4"/>
    <x v="0"/>
    <n v="2385"/>
    <n v="5"/>
    <n v="2"/>
    <x v="11"/>
    <n v="3"/>
    <x v="11"/>
    <x v="0"/>
    <n v="11925"/>
  </r>
  <r>
    <x v="1"/>
    <x v="0"/>
    <n v="1607"/>
    <n v="5"/>
    <n v="2"/>
    <x v="9"/>
    <n v="4"/>
    <x v="9"/>
    <x v="0"/>
    <n v="8035"/>
  </r>
  <r>
    <x v="3"/>
    <x v="0"/>
    <n v="2327"/>
    <n v="5"/>
    <n v="2"/>
    <x v="8"/>
    <n v="5"/>
    <x v="8"/>
    <x v="0"/>
    <n v="11635"/>
  </r>
  <r>
    <x v="3"/>
    <x v="0"/>
    <n v="991"/>
    <n v="5"/>
    <n v="2"/>
    <x v="1"/>
    <n v="6"/>
    <x v="1"/>
    <x v="0"/>
    <n v="4955"/>
  </r>
  <r>
    <x v="3"/>
    <x v="0"/>
    <n v="602"/>
    <n v="5"/>
    <n v="2"/>
    <x v="1"/>
    <n v="6"/>
    <x v="1"/>
    <x v="0"/>
    <n v="3010"/>
  </r>
  <r>
    <x v="4"/>
    <x v="0"/>
    <n v="2620"/>
    <n v="5"/>
    <n v="2"/>
    <x v="4"/>
    <n v="9"/>
    <x v="4"/>
    <x v="0"/>
    <n v="13100"/>
  </r>
  <r>
    <x v="3"/>
    <x v="0"/>
    <n v="861"/>
    <n v="5"/>
    <n v="2"/>
    <x v="5"/>
    <n v="10"/>
    <x v="5"/>
    <x v="0"/>
    <n v="4305"/>
  </r>
  <r>
    <x v="3"/>
    <x v="0"/>
    <n v="2663"/>
    <n v="5"/>
    <n v="2"/>
    <x v="6"/>
    <n v="12"/>
    <x v="6"/>
    <x v="0"/>
    <n v="13315"/>
  </r>
  <r>
    <x v="4"/>
    <x v="0"/>
    <n v="3801"/>
    <n v="5"/>
    <n v="2"/>
    <x v="9"/>
    <n v="4"/>
    <x v="9"/>
    <x v="0"/>
    <n v="19005"/>
  </r>
  <r>
    <x v="4"/>
    <x v="0"/>
    <n v="1496"/>
    <n v="5"/>
    <n v="2"/>
    <x v="1"/>
    <n v="6"/>
    <x v="1"/>
    <x v="0"/>
    <n v="7480"/>
  </r>
  <r>
    <x v="3"/>
    <x v="0"/>
    <n v="2198"/>
    <n v="5"/>
    <n v="2"/>
    <x v="3"/>
    <n v="8"/>
    <x v="3"/>
    <x v="0"/>
    <n v="10990"/>
  </r>
  <r>
    <x v="2"/>
    <x v="0"/>
    <n v="1743"/>
    <n v="5"/>
    <n v="2"/>
    <x v="3"/>
    <n v="8"/>
    <x v="3"/>
    <x v="0"/>
    <n v="8715"/>
  </r>
  <r>
    <x v="3"/>
    <x v="0"/>
    <n v="1153"/>
    <n v="5"/>
    <n v="2"/>
    <x v="5"/>
    <n v="10"/>
    <x v="5"/>
    <x v="0"/>
    <n v="5765"/>
  </r>
  <r>
    <x v="0"/>
    <x v="0"/>
    <n v="1702"/>
    <n v="5"/>
    <n v="2"/>
    <x v="8"/>
    <n v="5"/>
    <x v="8"/>
    <x v="0"/>
    <n v="8510"/>
  </r>
  <r>
    <x v="4"/>
    <x v="0"/>
    <n v="448"/>
    <n v="5"/>
    <n v="2"/>
    <x v="1"/>
    <n v="6"/>
    <x v="1"/>
    <x v="0"/>
    <n v="2240"/>
  </r>
  <r>
    <x v="2"/>
    <x v="0"/>
    <n v="3513"/>
    <n v="5"/>
    <n v="2"/>
    <x v="2"/>
    <n v="7"/>
    <x v="2"/>
    <x v="0"/>
    <n v="17565"/>
  </r>
  <r>
    <x v="4"/>
    <x v="0"/>
    <n v="2101"/>
    <n v="5"/>
    <n v="2"/>
    <x v="3"/>
    <n v="8"/>
    <x v="3"/>
    <x v="0"/>
    <n v="10505"/>
  </r>
  <r>
    <x v="4"/>
    <x v="0"/>
    <n v="1535"/>
    <n v="5"/>
    <n v="2"/>
    <x v="4"/>
    <n v="9"/>
    <x v="4"/>
    <x v="0"/>
    <n v="7675"/>
  </r>
  <r>
    <x v="0"/>
    <x v="0"/>
    <n v="257"/>
    <n v="5"/>
    <n v="2"/>
    <x v="8"/>
    <n v="5"/>
    <x v="8"/>
    <x v="0"/>
    <n v="1285"/>
  </r>
  <r>
    <x v="1"/>
    <x v="0"/>
    <n v="1114"/>
    <n v="5"/>
    <n v="2"/>
    <x v="11"/>
    <n v="3"/>
    <x v="11"/>
    <x v="0"/>
    <n v="5570"/>
  </r>
  <r>
    <x v="2"/>
    <x v="0"/>
    <n v="1259"/>
    <n v="5"/>
    <n v="2"/>
    <x v="9"/>
    <n v="4"/>
    <x v="9"/>
    <x v="0"/>
    <n v="6295"/>
  </r>
  <r>
    <x v="2"/>
    <x v="0"/>
    <n v="1095"/>
    <n v="5"/>
    <n v="2"/>
    <x v="8"/>
    <n v="5"/>
    <x v="8"/>
    <x v="0"/>
    <n v="5475"/>
  </r>
  <r>
    <x v="2"/>
    <x v="0"/>
    <n v="1366"/>
    <n v="5"/>
    <n v="2"/>
    <x v="1"/>
    <n v="6"/>
    <x v="1"/>
    <x v="0"/>
    <n v="6830"/>
  </r>
  <r>
    <x v="1"/>
    <x v="0"/>
    <n v="2460"/>
    <n v="5"/>
    <n v="2"/>
    <x v="1"/>
    <n v="6"/>
    <x v="1"/>
    <x v="0"/>
    <n v="12300"/>
  </r>
  <r>
    <x v="3"/>
    <x v="0"/>
    <n v="678"/>
    <n v="5"/>
    <n v="2"/>
    <x v="3"/>
    <n v="8"/>
    <x v="3"/>
    <x v="0"/>
    <n v="3390"/>
  </r>
  <r>
    <x v="2"/>
    <x v="0"/>
    <n v="1598"/>
    <n v="5"/>
    <n v="2"/>
    <x v="3"/>
    <n v="8"/>
    <x v="3"/>
    <x v="0"/>
    <n v="7990"/>
  </r>
  <r>
    <x v="2"/>
    <x v="0"/>
    <n v="1934"/>
    <n v="5"/>
    <n v="2"/>
    <x v="4"/>
    <n v="9"/>
    <x v="4"/>
    <x v="0"/>
    <n v="9670"/>
  </r>
  <r>
    <x v="1"/>
    <x v="0"/>
    <n v="2993"/>
    <n v="5"/>
    <n v="2"/>
    <x v="4"/>
    <n v="9"/>
    <x v="4"/>
    <x v="0"/>
    <n v="14965"/>
  </r>
  <r>
    <x v="1"/>
    <x v="0"/>
    <n v="1362"/>
    <n v="5"/>
    <n v="2"/>
    <x v="6"/>
    <n v="12"/>
    <x v="6"/>
    <x v="0"/>
    <n v="6810"/>
  </r>
  <r>
    <x v="1"/>
    <x v="0"/>
    <n v="2565"/>
    <n v="5"/>
    <n v="2"/>
    <x v="7"/>
    <n v="1"/>
    <x v="7"/>
    <x v="0"/>
    <n v="12825"/>
  </r>
  <r>
    <x v="1"/>
    <x v="0"/>
    <n v="2417"/>
    <n v="5"/>
    <n v="2"/>
    <x v="7"/>
    <n v="1"/>
    <x v="7"/>
    <x v="0"/>
    <n v="12085"/>
  </r>
  <r>
    <x v="3"/>
    <x v="0"/>
    <n v="3675"/>
    <n v="5"/>
    <n v="2"/>
    <x v="9"/>
    <n v="4"/>
    <x v="9"/>
    <x v="0"/>
    <n v="18375"/>
  </r>
  <r>
    <x v="0"/>
    <x v="0"/>
    <n v="1094"/>
    <n v="5"/>
    <n v="2"/>
    <x v="1"/>
    <n v="6"/>
    <x v="1"/>
    <x v="0"/>
    <n v="5470"/>
  </r>
  <r>
    <x v="4"/>
    <x v="0"/>
    <n v="1227"/>
    <n v="5"/>
    <n v="2"/>
    <x v="5"/>
    <n v="10"/>
    <x v="5"/>
    <x v="0"/>
    <n v="6135"/>
  </r>
  <r>
    <x v="4"/>
    <x v="0"/>
    <n v="1324"/>
    <n v="5"/>
    <n v="2"/>
    <x v="10"/>
    <n v="11"/>
    <x v="10"/>
    <x v="0"/>
    <n v="6620"/>
  </r>
  <r>
    <x v="3"/>
    <x v="0"/>
    <n v="2797"/>
    <n v="5"/>
    <n v="2"/>
    <x v="6"/>
    <n v="12"/>
    <x v="6"/>
    <x v="0"/>
    <n v="13985"/>
  </r>
  <r>
    <x v="3"/>
    <x v="0"/>
    <n v="973"/>
    <n v="5"/>
    <n v="2"/>
    <x v="11"/>
    <n v="3"/>
    <x v="11"/>
    <x v="0"/>
    <n v="4865"/>
  </r>
  <r>
    <x v="1"/>
    <x v="0"/>
    <n v="1038"/>
    <n v="5"/>
    <n v="2"/>
    <x v="1"/>
    <n v="6"/>
    <x v="1"/>
    <x v="0"/>
    <n v="5190"/>
  </r>
  <r>
    <x v="2"/>
    <x v="0"/>
    <n v="360"/>
    <n v="5"/>
    <n v="2"/>
    <x v="5"/>
    <n v="10"/>
    <x v="5"/>
    <x v="0"/>
    <n v="1800"/>
  </r>
  <r>
    <x v="4"/>
    <x v="0"/>
    <n v="1954"/>
    <n v="5"/>
    <n v="2"/>
    <x v="11"/>
    <n v="3"/>
    <x v="11"/>
    <x v="0"/>
    <n v="9770"/>
  </r>
  <r>
    <x v="1"/>
    <x v="0"/>
    <n v="591"/>
    <n v="5"/>
    <n v="2"/>
    <x v="8"/>
    <n v="5"/>
    <x v="8"/>
    <x v="0"/>
    <n v="2955"/>
  </r>
  <r>
    <x v="2"/>
    <x v="0"/>
    <n v="241"/>
    <n v="5"/>
    <n v="2"/>
    <x v="5"/>
    <n v="10"/>
    <x v="5"/>
    <x v="0"/>
    <n v="1205"/>
  </r>
  <r>
    <x v="4"/>
    <x v="0"/>
    <n v="2532"/>
    <n v="5"/>
    <n v="2"/>
    <x v="9"/>
    <n v="4"/>
    <x v="9"/>
    <x v="0"/>
    <n v="12660"/>
  </r>
  <r>
    <x v="0"/>
    <x v="0"/>
    <n v="873"/>
    <n v="5"/>
    <n v="2"/>
    <x v="7"/>
    <n v="1"/>
    <x v="7"/>
    <x v="0"/>
    <n v="4365"/>
  </r>
  <r>
    <x v="1"/>
    <x v="0"/>
    <n v="1122"/>
    <n v="5"/>
    <n v="2"/>
    <x v="11"/>
    <n v="3"/>
    <x v="11"/>
    <x v="0"/>
    <n v="5610"/>
  </r>
  <r>
    <x v="0"/>
    <x v="0"/>
    <n v="2104.5"/>
    <n v="5"/>
    <n v="2"/>
    <x v="2"/>
    <n v="7"/>
    <x v="2"/>
    <x v="0"/>
    <n v="10522.5"/>
  </r>
  <r>
    <x v="0"/>
    <x v="0"/>
    <n v="4026"/>
    <n v="5"/>
    <n v="2"/>
    <x v="2"/>
    <n v="7"/>
    <x v="2"/>
    <x v="0"/>
    <n v="20130"/>
  </r>
  <r>
    <x v="4"/>
    <x v="0"/>
    <n v="2425.5"/>
    <n v="5"/>
    <n v="2"/>
    <x v="2"/>
    <n v="7"/>
    <x v="2"/>
    <x v="0"/>
    <n v="12127.5"/>
  </r>
  <r>
    <x v="0"/>
    <x v="0"/>
    <n v="2394"/>
    <n v="5"/>
    <n v="2"/>
    <x v="3"/>
    <n v="8"/>
    <x v="3"/>
    <x v="0"/>
    <n v="11970"/>
  </r>
  <r>
    <x v="1"/>
    <x v="0"/>
    <n v="1984"/>
    <n v="5"/>
    <n v="2"/>
    <x v="3"/>
    <n v="8"/>
    <x v="3"/>
    <x v="0"/>
    <n v="9920"/>
  </r>
  <r>
    <x v="4"/>
    <x v="0"/>
    <n v="2441"/>
    <n v="5"/>
    <n v="2"/>
    <x v="5"/>
    <n v="10"/>
    <x v="5"/>
    <x v="0"/>
    <n v="12205"/>
  </r>
  <r>
    <x v="0"/>
    <x v="0"/>
    <n v="1366"/>
    <n v="5"/>
    <n v="2"/>
    <x v="10"/>
    <n v="11"/>
    <x v="10"/>
    <x v="0"/>
    <n v="6830"/>
  </r>
  <r>
    <x v="3"/>
    <x v="0"/>
    <n v="3495"/>
    <n v="5"/>
    <n v="2"/>
    <x v="7"/>
    <n v="1"/>
    <x v="7"/>
    <x v="0"/>
    <n v="17475"/>
  </r>
  <r>
    <x v="1"/>
    <x v="0"/>
    <n v="886"/>
    <n v="5"/>
    <n v="2"/>
    <x v="1"/>
    <n v="6"/>
    <x v="1"/>
    <x v="0"/>
    <n v="4430"/>
  </r>
  <r>
    <x v="1"/>
    <x v="0"/>
    <n v="2156"/>
    <n v="5"/>
    <n v="2"/>
    <x v="5"/>
    <n v="10"/>
    <x v="5"/>
    <x v="0"/>
    <n v="10780"/>
  </r>
  <r>
    <x v="1"/>
    <x v="0"/>
    <n v="905"/>
    <n v="5"/>
    <n v="2"/>
    <x v="5"/>
    <n v="10"/>
    <x v="5"/>
    <x v="0"/>
    <n v="4525"/>
  </r>
  <r>
    <x v="4"/>
    <x v="0"/>
    <n v="1594"/>
    <n v="5"/>
    <n v="2"/>
    <x v="10"/>
    <n v="11"/>
    <x v="10"/>
    <x v="0"/>
    <n v="7970"/>
  </r>
  <r>
    <x v="2"/>
    <x v="0"/>
    <n v="1359"/>
    <n v="5"/>
    <n v="2"/>
    <x v="10"/>
    <n v="11"/>
    <x v="10"/>
    <x v="0"/>
    <n v="6795"/>
  </r>
  <r>
    <x v="1"/>
    <x v="0"/>
    <n v="2150"/>
    <n v="5"/>
    <n v="2"/>
    <x v="10"/>
    <n v="11"/>
    <x v="10"/>
    <x v="0"/>
    <n v="10750"/>
  </r>
  <r>
    <x v="1"/>
    <x v="0"/>
    <n v="1197"/>
    <n v="5"/>
    <n v="2"/>
    <x v="10"/>
    <n v="11"/>
    <x v="10"/>
    <x v="0"/>
    <n v="5985"/>
  </r>
  <r>
    <x v="1"/>
    <x v="0"/>
    <n v="1233"/>
    <n v="5"/>
    <n v="2"/>
    <x v="6"/>
    <n v="12"/>
    <x v="6"/>
    <x v="0"/>
    <n v="6165"/>
  </r>
  <r>
    <x v="2"/>
    <x v="0"/>
    <n v="1531"/>
    <n v="5"/>
    <n v="2"/>
    <x v="6"/>
    <n v="12"/>
    <x v="6"/>
    <x v="0"/>
    <n v="7655"/>
  </r>
  <r>
    <x v="3"/>
    <x v="0"/>
    <n v="1438.5"/>
    <n v="5"/>
    <n v="2"/>
    <x v="7"/>
    <n v="1"/>
    <x v="7"/>
    <x v="0"/>
    <n v="7192.5"/>
  </r>
  <r>
    <x v="2"/>
    <x v="0"/>
    <n v="807"/>
    <n v="5"/>
    <n v="2"/>
    <x v="7"/>
    <n v="1"/>
    <x v="7"/>
    <x v="0"/>
    <n v="4035"/>
  </r>
  <r>
    <x v="3"/>
    <x v="0"/>
    <n v="2641"/>
    <n v="5"/>
    <n v="2"/>
    <x v="0"/>
    <n v="2"/>
    <x v="0"/>
    <x v="0"/>
    <n v="13205"/>
  </r>
  <r>
    <x v="2"/>
    <x v="0"/>
    <n v="2708"/>
    <n v="5"/>
    <n v="2"/>
    <x v="0"/>
    <n v="2"/>
    <x v="0"/>
    <x v="0"/>
    <n v="13540"/>
  </r>
  <r>
    <x v="0"/>
    <x v="0"/>
    <n v="2632"/>
    <n v="5"/>
    <n v="2"/>
    <x v="1"/>
    <n v="6"/>
    <x v="1"/>
    <x v="0"/>
    <n v="13160"/>
  </r>
  <r>
    <x v="0"/>
    <x v="0"/>
    <n v="1583"/>
    <n v="5"/>
    <n v="2"/>
    <x v="1"/>
    <n v="6"/>
    <x v="1"/>
    <x v="0"/>
    <n v="7915"/>
  </r>
  <r>
    <x v="1"/>
    <x v="0"/>
    <n v="571"/>
    <n v="5"/>
    <n v="2"/>
    <x v="2"/>
    <n v="7"/>
    <x v="2"/>
    <x v="0"/>
    <n v="2855"/>
  </r>
  <r>
    <x v="4"/>
    <x v="0"/>
    <n v="2696"/>
    <n v="5"/>
    <n v="2"/>
    <x v="3"/>
    <n v="8"/>
    <x v="3"/>
    <x v="0"/>
    <n v="13480"/>
  </r>
  <r>
    <x v="0"/>
    <x v="0"/>
    <n v="1565"/>
    <n v="5"/>
    <n v="2"/>
    <x v="5"/>
    <n v="10"/>
    <x v="5"/>
    <x v="0"/>
    <n v="7825"/>
  </r>
  <r>
    <x v="0"/>
    <x v="0"/>
    <n v="1249"/>
    <n v="5"/>
    <n v="2"/>
    <x v="5"/>
    <n v="10"/>
    <x v="5"/>
    <x v="0"/>
    <n v="6245"/>
  </r>
  <r>
    <x v="2"/>
    <x v="0"/>
    <n v="357"/>
    <n v="5"/>
    <n v="2"/>
    <x v="10"/>
    <n v="11"/>
    <x v="10"/>
    <x v="0"/>
    <n v="1785"/>
  </r>
  <r>
    <x v="2"/>
    <x v="0"/>
    <n v="1013"/>
    <n v="5"/>
    <n v="2"/>
    <x v="6"/>
    <n v="12"/>
    <x v="6"/>
    <x v="0"/>
    <n v="5065"/>
  </r>
  <r>
    <x v="2"/>
    <x v="0"/>
    <n v="278"/>
    <n v="5"/>
    <n v="2"/>
    <x v="0"/>
    <n v="2"/>
    <x v="0"/>
    <x v="0"/>
    <n v="1390"/>
  </r>
  <r>
    <x v="0"/>
    <x v="0"/>
    <n v="2428"/>
    <n v="5"/>
    <n v="2"/>
    <x v="11"/>
    <n v="3"/>
    <x v="11"/>
    <x v="0"/>
    <n v="12140"/>
  </r>
  <r>
    <x v="3"/>
    <x v="0"/>
    <n v="1767"/>
    <n v="5"/>
    <n v="2"/>
    <x v="4"/>
    <n v="9"/>
    <x v="4"/>
    <x v="0"/>
    <n v="8835"/>
  </r>
  <r>
    <x v="4"/>
    <x v="0"/>
    <n v="1393"/>
    <n v="5"/>
    <n v="2"/>
    <x v="5"/>
    <n v="10"/>
    <x v="5"/>
    <x v="0"/>
    <n v="6965"/>
  </r>
  <r>
    <x v="1"/>
    <x v="0"/>
    <n v="260"/>
    <n v="5"/>
    <n v="2"/>
    <x v="0"/>
    <n v="2"/>
    <x v="0"/>
    <x v="0"/>
    <n v="1300"/>
  </r>
  <r>
    <x v="3"/>
    <x v="0"/>
    <n v="2914"/>
    <n v="5"/>
    <n v="2"/>
    <x v="5"/>
    <n v="10"/>
    <x v="5"/>
    <x v="0"/>
    <n v="14570"/>
  </r>
  <r>
    <x v="4"/>
    <x v="0"/>
    <n v="1731"/>
    <n v="5"/>
    <n v="2"/>
    <x v="5"/>
    <n v="10"/>
    <x v="5"/>
    <x v="0"/>
    <n v="8655"/>
  </r>
  <r>
    <x v="0"/>
    <x v="0"/>
    <n v="700"/>
    <n v="5"/>
    <n v="2"/>
    <x v="10"/>
    <n v="11"/>
    <x v="10"/>
    <x v="0"/>
    <n v="3500"/>
  </r>
  <r>
    <x v="3"/>
    <x v="0"/>
    <n v="1177"/>
    <n v="5"/>
    <n v="2"/>
    <x v="10"/>
    <n v="11"/>
    <x v="10"/>
    <x v="0"/>
    <n v="5885"/>
  </r>
  <r>
    <x v="2"/>
    <x v="0"/>
    <n v="1158"/>
    <n v="5"/>
    <n v="2"/>
    <x v="11"/>
    <n v="3"/>
    <x v="11"/>
    <x v="0"/>
    <n v="5790"/>
  </r>
  <r>
    <x v="0"/>
    <x v="0"/>
    <n v="1614"/>
    <n v="5"/>
    <n v="2"/>
    <x v="9"/>
    <n v="4"/>
    <x v="9"/>
    <x v="0"/>
    <n v="8070"/>
  </r>
  <r>
    <x v="1"/>
    <x v="0"/>
    <n v="2535"/>
    <n v="5"/>
    <n v="2"/>
    <x v="9"/>
    <n v="4"/>
    <x v="9"/>
    <x v="0"/>
    <n v="12675"/>
  </r>
  <r>
    <x v="1"/>
    <x v="0"/>
    <n v="2851"/>
    <n v="5"/>
    <n v="2"/>
    <x v="8"/>
    <n v="5"/>
    <x v="8"/>
    <x v="0"/>
    <n v="14255"/>
  </r>
  <r>
    <x v="0"/>
    <x v="0"/>
    <n v="2559"/>
    <n v="5"/>
    <n v="2"/>
    <x v="3"/>
    <n v="8"/>
    <x v="3"/>
    <x v="0"/>
    <n v="12795"/>
  </r>
  <r>
    <x v="2"/>
    <x v="0"/>
    <n v="1085"/>
    <n v="5"/>
    <n v="2"/>
    <x v="5"/>
    <n v="10"/>
    <x v="5"/>
    <x v="0"/>
    <n v="5425"/>
  </r>
  <r>
    <x v="2"/>
    <x v="0"/>
    <n v="1175"/>
    <n v="5"/>
    <n v="2"/>
    <x v="5"/>
    <n v="10"/>
    <x v="5"/>
    <x v="0"/>
    <n v="5875"/>
  </r>
  <r>
    <x v="3"/>
    <x v="0"/>
    <n v="914"/>
    <n v="5"/>
    <n v="2"/>
    <x v="6"/>
    <n v="12"/>
    <x v="6"/>
    <x v="0"/>
    <n v="4570"/>
  </r>
  <r>
    <x v="4"/>
    <x v="0"/>
    <n v="293"/>
    <n v="5"/>
    <n v="2"/>
    <x v="6"/>
    <n v="12"/>
    <x v="6"/>
    <x v="0"/>
    <n v="1465"/>
  </r>
  <r>
    <x v="0"/>
    <x v="0"/>
    <n v="723"/>
    <n v="5"/>
    <n v="2"/>
    <x v="9"/>
    <n v="4"/>
    <x v="9"/>
    <x v="0"/>
    <n v="3615"/>
  </r>
  <r>
    <x v="2"/>
    <x v="1"/>
    <n v="921"/>
    <n v="1"/>
    <n v="0.2"/>
    <x v="11"/>
    <n v="3"/>
    <x v="11"/>
    <x v="0"/>
    <n v="921"/>
  </r>
  <r>
    <x v="0"/>
    <x v="1"/>
    <n v="2518"/>
    <n v="1"/>
    <n v="0.2"/>
    <x v="1"/>
    <n v="6"/>
    <x v="1"/>
    <x v="0"/>
    <n v="2518"/>
  </r>
  <r>
    <x v="4"/>
    <x v="1"/>
    <n v="1899"/>
    <n v="1"/>
    <n v="0.2"/>
    <x v="1"/>
    <n v="6"/>
    <x v="1"/>
    <x v="0"/>
    <n v="1899"/>
  </r>
  <r>
    <x v="2"/>
    <x v="1"/>
    <n v="1545"/>
    <n v="1"/>
    <n v="0.2"/>
    <x v="1"/>
    <n v="6"/>
    <x v="1"/>
    <x v="0"/>
    <n v="1545"/>
  </r>
  <r>
    <x v="1"/>
    <x v="1"/>
    <n v="2470"/>
    <n v="1"/>
    <n v="0.2"/>
    <x v="1"/>
    <n v="6"/>
    <x v="1"/>
    <x v="0"/>
    <n v="2470"/>
  </r>
  <r>
    <x v="0"/>
    <x v="1"/>
    <n v="2665.5"/>
    <n v="1"/>
    <n v="0.2"/>
    <x v="2"/>
    <n v="7"/>
    <x v="2"/>
    <x v="0"/>
    <n v="2665.5"/>
  </r>
  <r>
    <x v="1"/>
    <x v="1"/>
    <n v="958"/>
    <n v="1"/>
    <n v="0.2"/>
    <x v="3"/>
    <n v="8"/>
    <x v="3"/>
    <x v="0"/>
    <n v="958"/>
  </r>
  <r>
    <x v="2"/>
    <x v="1"/>
    <n v="2146"/>
    <n v="1"/>
    <n v="0.2"/>
    <x v="4"/>
    <n v="9"/>
    <x v="4"/>
    <x v="0"/>
    <n v="2146"/>
  </r>
  <r>
    <x v="3"/>
    <x v="1"/>
    <n v="615"/>
    <n v="1"/>
    <n v="0.2"/>
    <x v="6"/>
    <n v="12"/>
    <x v="6"/>
    <x v="0"/>
    <n v="615"/>
  </r>
  <r>
    <x v="1"/>
    <x v="1"/>
    <n v="2214"/>
    <n v="1"/>
    <n v="0.2"/>
    <x v="11"/>
    <n v="3"/>
    <x v="11"/>
    <x v="0"/>
    <n v="2214"/>
  </r>
  <r>
    <x v="3"/>
    <x v="1"/>
    <n v="2301"/>
    <n v="1"/>
    <n v="0.2"/>
    <x v="9"/>
    <n v="4"/>
    <x v="9"/>
    <x v="0"/>
    <n v="2301"/>
  </r>
  <r>
    <x v="4"/>
    <x v="1"/>
    <n v="1375.5"/>
    <n v="1"/>
    <n v="0.2"/>
    <x v="2"/>
    <n v="7"/>
    <x v="2"/>
    <x v="0"/>
    <n v="1375.5"/>
  </r>
  <r>
    <x v="0"/>
    <x v="1"/>
    <n v="1830"/>
    <n v="1"/>
    <n v="0.2"/>
    <x v="3"/>
    <n v="8"/>
    <x v="3"/>
    <x v="0"/>
    <n v="1830"/>
  </r>
  <r>
    <x v="3"/>
    <x v="1"/>
    <n v="1142"/>
    <n v="1"/>
    <n v="0.2"/>
    <x v="1"/>
    <n v="6"/>
    <x v="1"/>
    <x v="0"/>
    <n v="1142"/>
  </r>
  <r>
    <x v="3"/>
    <x v="1"/>
    <n v="1566"/>
    <n v="1"/>
    <n v="0.2"/>
    <x v="5"/>
    <n v="10"/>
    <x v="5"/>
    <x v="0"/>
    <n v="1566"/>
  </r>
  <r>
    <x v="1"/>
    <x v="1"/>
    <n v="690"/>
    <n v="1"/>
    <n v="0.2"/>
    <x v="10"/>
    <n v="11"/>
    <x v="10"/>
    <x v="0"/>
    <n v="690"/>
  </r>
  <r>
    <x v="2"/>
    <x v="1"/>
    <n v="1958"/>
    <n v="1"/>
    <n v="0.2"/>
    <x v="0"/>
    <n v="2"/>
    <x v="0"/>
    <x v="0"/>
    <n v="1958"/>
  </r>
  <r>
    <x v="4"/>
    <x v="1"/>
    <n v="1901"/>
    <n v="1"/>
    <n v="0.2"/>
    <x v="1"/>
    <n v="6"/>
    <x v="1"/>
    <x v="0"/>
    <n v="1901"/>
  </r>
  <r>
    <x v="4"/>
    <x v="1"/>
    <n v="544"/>
    <n v="1"/>
    <n v="0.2"/>
    <x v="4"/>
    <n v="9"/>
    <x v="4"/>
    <x v="0"/>
    <n v="544"/>
  </r>
  <r>
    <x v="4"/>
    <x v="1"/>
    <n v="1287"/>
    <n v="1"/>
    <n v="0.2"/>
    <x v="6"/>
    <n v="12"/>
    <x v="6"/>
    <x v="0"/>
    <n v="1287"/>
  </r>
  <r>
    <x v="2"/>
    <x v="1"/>
    <n v="1706"/>
    <n v="1"/>
    <n v="0.2"/>
    <x v="6"/>
    <n v="12"/>
    <x v="6"/>
    <x v="0"/>
    <n v="1706"/>
  </r>
  <r>
    <x v="1"/>
    <x v="1"/>
    <n v="2031"/>
    <n v="1"/>
    <n v="0.2"/>
    <x v="5"/>
    <n v="10"/>
    <x v="5"/>
    <x v="0"/>
    <n v="2031"/>
  </r>
  <r>
    <x v="0"/>
    <x v="1"/>
    <n v="1967"/>
    <n v="1"/>
    <n v="0.2"/>
    <x v="11"/>
    <n v="3"/>
    <x v="11"/>
    <x v="0"/>
    <n v="1967"/>
  </r>
  <r>
    <x v="2"/>
    <x v="1"/>
    <n v="1859"/>
    <n v="1"/>
    <n v="0.2"/>
    <x v="3"/>
    <n v="8"/>
    <x v="3"/>
    <x v="0"/>
    <n v="1859"/>
  </r>
  <r>
    <x v="2"/>
    <x v="1"/>
    <n v="2021"/>
    <n v="1"/>
    <n v="0.2"/>
    <x v="5"/>
    <n v="10"/>
    <x v="5"/>
    <x v="0"/>
    <n v="2021"/>
  </r>
  <r>
    <x v="1"/>
    <x v="1"/>
    <n v="1138"/>
    <n v="1"/>
    <n v="0.2"/>
    <x v="6"/>
    <n v="12"/>
    <x v="6"/>
    <x v="0"/>
    <n v="1138"/>
  </r>
  <r>
    <x v="4"/>
    <x v="1"/>
    <n v="1384.5"/>
    <n v="1"/>
    <n v="0.2"/>
    <x v="7"/>
    <n v="1"/>
    <x v="7"/>
    <x v="0"/>
    <n v="1384.5"/>
  </r>
  <r>
    <x v="3"/>
    <x v="1"/>
    <n v="3627"/>
    <n v="1"/>
    <n v="0.2"/>
    <x v="2"/>
    <n v="7"/>
    <x v="2"/>
    <x v="0"/>
    <n v="3627"/>
  </r>
  <r>
    <x v="2"/>
    <x v="1"/>
    <n v="2342"/>
    <n v="1"/>
    <n v="0.2"/>
    <x v="10"/>
    <n v="11"/>
    <x v="10"/>
    <x v="0"/>
    <n v="2342"/>
  </r>
  <r>
    <x v="1"/>
    <x v="1"/>
    <n v="980"/>
    <n v="1"/>
    <n v="0.2"/>
    <x v="9"/>
    <n v="4"/>
    <x v="9"/>
    <x v="0"/>
    <n v="980"/>
  </r>
  <r>
    <x v="2"/>
    <x v="1"/>
    <n v="1460"/>
    <n v="1"/>
    <n v="0.2"/>
    <x v="8"/>
    <n v="5"/>
    <x v="8"/>
    <x v="0"/>
    <n v="1460"/>
  </r>
  <r>
    <x v="3"/>
    <x v="1"/>
    <n v="2723"/>
    <n v="1"/>
    <n v="0.2"/>
    <x v="10"/>
    <n v="11"/>
    <x v="10"/>
    <x v="0"/>
    <n v="2723"/>
  </r>
  <r>
    <x v="1"/>
    <x v="1"/>
    <n v="2340"/>
    <n v="1"/>
    <n v="0.2"/>
    <x v="7"/>
    <n v="1"/>
    <x v="7"/>
    <x v="0"/>
    <n v="2340"/>
  </r>
  <r>
    <x v="4"/>
    <x v="1"/>
    <n v="2342"/>
    <n v="1"/>
    <n v="0.2"/>
    <x v="10"/>
    <n v="11"/>
    <x v="10"/>
    <x v="0"/>
    <n v="2342"/>
  </r>
  <r>
    <x v="4"/>
    <x v="1"/>
    <n v="1976"/>
    <n v="1"/>
    <n v="0.2"/>
    <x v="5"/>
    <n v="10"/>
    <x v="5"/>
    <x v="0"/>
    <n v="1976"/>
  </r>
  <r>
    <x v="4"/>
    <x v="1"/>
    <n v="2181"/>
    <n v="1"/>
    <n v="0.2"/>
    <x v="5"/>
    <n v="10"/>
    <x v="5"/>
    <x v="0"/>
    <n v="2181"/>
  </r>
  <r>
    <x v="0"/>
    <x v="1"/>
    <n v="488"/>
    <n v="1"/>
    <n v="0.2"/>
    <x v="0"/>
    <n v="2"/>
    <x v="0"/>
    <x v="0"/>
    <n v="488"/>
  </r>
  <r>
    <x v="3"/>
    <x v="1"/>
    <n v="1282"/>
    <n v="1"/>
    <n v="0.2"/>
    <x v="1"/>
    <n v="6"/>
    <x v="1"/>
    <x v="0"/>
    <n v="1282"/>
  </r>
  <r>
    <x v="4"/>
    <x v="1"/>
    <n v="2501"/>
    <n v="1"/>
    <n v="0.2"/>
    <x v="11"/>
    <n v="3"/>
    <x v="11"/>
    <x v="0"/>
    <n v="2501"/>
  </r>
  <r>
    <x v="0"/>
    <x v="1"/>
    <n v="708"/>
    <n v="1"/>
    <n v="0.2"/>
    <x v="1"/>
    <n v="6"/>
    <x v="1"/>
    <x v="0"/>
    <n v="708"/>
  </r>
  <r>
    <x v="2"/>
    <x v="1"/>
    <n v="645"/>
    <n v="1"/>
    <n v="0.2"/>
    <x v="2"/>
    <n v="7"/>
    <x v="2"/>
    <x v="0"/>
    <n v="645"/>
  </r>
  <r>
    <x v="4"/>
    <x v="1"/>
    <n v="1562"/>
    <n v="1"/>
    <n v="0.2"/>
    <x v="3"/>
    <n v="8"/>
    <x v="3"/>
    <x v="0"/>
    <n v="1562"/>
  </r>
  <r>
    <x v="2"/>
    <x v="1"/>
    <n v="711"/>
    <n v="1"/>
    <n v="0.2"/>
    <x v="6"/>
    <n v="12"/>
    <x v="6"/>
    <x v="0"/>
    <n v="711"/>
  </r>
  <r>
    <x v="0"/>
    <x v="1"/>
    <n v="3802.5"/>
    <n v="1"/>
    <n v="0.2"/>
    <x v="9"/>
    <n v="4"/>
    <x v="9"/>
    <x v="0"/>
    <n v="3802.5"/>
  </r>
  <r>
    <x v="4"/>
    <x v="1"/>
    <n v="1666"/>
    <n v="1"/>
    <n v="0.2"/>
    <x v="8"/>
    <n v="5"/>
    <x v="8"/>
    <x v="0"/>
    <n v="1666"/>
  </r>
  <r>
    <x v="0"/>
    <x v="1"/>
    <n v="2321"/>
    <n v="1"/>
    <n v="0.2"/>
    <x v="10"/>
    <n v="11"/>
    <x v="10"/>
    <x v="0"/>
    <n v="2321"/>
  </r>
  <r>
    <x v="3"/>
    <x v="1"/>
    <n v="2797"/>
    <n v="1"/>
    <n v="0.2"/>
    <x v="6"/>
    <n v="12"/>
    <x v="6"/>
    <x v="0"/>
    <n v="2797"/>
  </r>
  <r>
    <x v="3"/>
    <x v="1"/>
    <n v="2328"/>
    <n v="1"/>
    <n v="0.2"/>
    <x v="4"/>
    <n v="9"/>
    <x v="4"/>
    <x v="0"/>
    <n v="2328"/>
  </r>
  <r>
    <x v="3"/>
    <x v="1"/>
    <n v="2313"/>
    <n v="1"/>
    <n v="0.2"/>
    <x v="8"/>
    <n v="5"/>
    <x v="8"/>
    <x v="0"/>
    <n v="2313"/>
  </r>
  <r>
    <x v="4"/>
    <x v="1"/>
    <n v="2072"/>
    <n v="1"/>
    <n v="0.2"/>
    <x v="6"/>
    <n v="12"/>
    <x v="6"/>
    <x v="0"/>
    <n v="2072"/>
  </r>
  <r>
    <x v="2"/>
    <x v="1"/>
    <n v="766"/>
    <n v="1"/>
    <n v="0.2"/>
    <x v="7"/>
    <n v="1"/>
    <x v="7"/>
    <x v="0"/>
    <n v="766"/>
  </r>
  <r>
    <x v="1"/>
    <x v="1"/>
    <n v="2157"/>
    <n v="1"/>
    <n v="0.2"/>
    <x v="6"/>
    <n v="12"/>
    <x v="6"/>
    <x v="0"/>
    <n v="2157"/>
  </r>
  <r>
    <x v="3"/>
    <x v="1"/>
    <n v="677"/>
    <n v="1"/>
    <n v="0.2"/>
    <x v="11"/>
    <n v="3"/>
    <x v="11"/>
    <x v="0"/>
    <n v="677"/>
  </r>
  <r>
    <x v="4"/>
    <x v="1"/>
    <n v="1773"/>
    <n v="1"/>
    <n v="0.2"/>
    <x v="9"/>
    <n v="4"/>
    <x v="9"/>
    <x v="0"/>
    <n v="1773"/>
  </r>
  <r>
    <x v="1"/>
    <x v="1"/>
    <n v="2420"/>
    <n v="1"/>
    <n v="0.2"/>
    <x v="4"/>
    <n v="9"/>
    <x v="4"/>
    <x v="0"/>
    <n v="2420"/>
  </r>
  <r>
    <x v="0"/>
    <x v="1"/>
    <n v="2734"/>
    <n v="1"/>
    <n v="0.2"/>
    <x v="5"/>
    <n v="10"/>
    <x v="5"/>
    <x v="0"/>
    <n v="2734"/>
  </r>
  <r>
    <x v="1"/>
    <x v="1"/>
    <n v="2661"/>
    <n v="1"/>
    <n v="0.2"/>
    <x v="8"/>
    <n v="5"/>
    <x v="8"/>
    <x v="0"/>
    <n v="2661"/>
  </r>
  <r>
    <x v="3"/>
    <x v="1"/>
    <n v="982.5"/>
    <n v="1"/>
    <n v="0.2"/>
    <x v="7"/>
    <n v="1"/>
    <x v="7"/>
    <x v="0"/>
    <n v="982.5"/>
  </r>
  <r>
    <x v="3"/>
    <x v="1"/>
    <n v="1298"/>
    <n v="1"/>
    <n v="0.2"/>
    <x v="0"/>
    <n v="2"/>
    <x v="0"/>
    <x v="0"/>
    <n v="1298"/>
  </r>
  <r>
    <x v="1"/>
    <x v="1"/>
    <n v="604"/>
    <n v="1"/>
    <n v="0.2"/>
    <x v="1"/>
    <n v="6"/>
    <x v="1"/>
    <x v="0"/>
    <n v="604"/>
  </r>
  <r>
    <x v="1"/>
    <x v="1"/>
    <n v="2255"/>
    <n v="1"/>
    <n v="0.2"/>
    <x v="2"/>
    <n v="7"/>
    <x v="2"/>
    <x v="0"/>
    <n v="2255"/>
  </r>
  <r>
    <x v="0"/>
    <x v="1"/>
    <n v="1249"/>
    <n v="1"/>
    <n v="0.2"/>
    <x v="5"/>
    <n v="10"/>
    <x v="5"/>
    <x v="0"/>
    <n v="1249"/>
  </r>
  <r>
    <x v="4"/>
    <x v="1"/>
    <n v="293"/>
    <n v="1"/>
    <n v="0.2"/>
    <x v="0"/>
    <n v="2"/>
    <x v="0"/>
    <x v="0"/>
    <n v="293"/>
  </r>
  <r>
    <x v="0"/>
    <x v="1"/>
    <n v="2227.5"/>
    <n v="1"/>
    <n v="0.2"/>
    <x v="7"/>
    <n v="1"/>
    <x v="7"/>
    <x v="0"/>
    <n v="2227.5"/>
  </r>
  <r>
    <x v="2"/>
    <x v="1"/>
    <n v="1199"/>
    <n v="1"/>
    <n v="0.2"/>
    <x v="9"/>
    <n v="4"/>
    <x v="9"/>
    <x v="0"/>
    <n v="1199"/>
  </r>
  <r>
    <x v="0"/>
    <x v="1"/>
    <n v="200"/>
    <n v="1"/>
    <n v="0.2"/>
    <x v="8"/>
    <n v="5"/>
    <x v="8"/>
    <x v="0"/>
    <n v="200"/>
  </r>
  <r>
    <x v="0"/>
    <x v="1"/>
    <n v="388"/>
    <n v="1"/>
    <n v="0.2"/>
    <x v="4"/>
    <n v="9"/>
    <x v="4"/>
    <x v="0"/>
    <n v="388"/>
  </r>
  <r>
    <x v="0"/>
    <x v="1"/>
    <n v="2300"/>
    <n v="1"/>
    <n v="0.2"/>
    <x v="6"/>
    <n v="12"/>
    <x v="6"/>
    <x v="0"/>
    <n v="2300"/>
  </r>
  <r>
    <x v="1"/>
    <x v="1"/>
    <n v="546"/>
    <n v="1"/>
    <n v="0.2"/>
    <x v="5"/>
    <n v="10"/>
    <x v="5"/>
    <x v="0"/>
    <n v="546"/>
  </r>
  <r>
    <x v="1"/>
    <x v="1"/>
    <n v="1368"/>
    <n v="1"/>
    <n v="0.2"/>
    <x v="0"/>
    <n v="2"/>
    <x v="0"/>
    <x v="0"/>
    <n v="1368"/>
  </r>
  <r>
    <x v="4"/>
    <x v="2"/>
    <n v="2750"/>
    <n v="5"/>
    <n v="2.2000000000000002"/>
    <x v="0"/>
    <n v="2"/>
    <x v="0"/>
    <x v="0"/>
    <n v="13750"/>
  </r>
  <r>
    <x v="3"/>
    <x v="2"/>
    <n v="1953"/>
    <n v="5"/>
    <n v="2.2000000000000002"/>
    <x v="9"/>
    <n v="4"/>
    <x v="9"/>
    <x v="0"/>
    <n v="9765"/>
  </r>
  <r>
    <x v="2"/>
    <x v="2"/>
    <n v="4219.5"/>
    <n v="5"/>
    <n v="2.2000000000000002"/>
    <x v="9"/>
    <n v="4"/>
    <x v="9"/>
    <x v="0"/>
    <n v="21097.5"/>
  </r>
  <r>
    <x v="4"/>
    <x v="2"/>
    <n v="1899"/>
    <n v="5"/>
    <n v="2.2000000000000002"/>
    <x v="1"/>
    <n v="6"/>
    <x v="1"/>
    <x v="0"/>
    <n v="9495"/>
  </r>
  <r>
    <x v="2"/>
    <x v="2"/>
    <n v="1686"/>
    <n v="5"/>
    <n v="2.2000000000000002"/>
    <x v="2"/>
    <n v="7"/>
    <x v="2"/>
    <x v="0"/>
    <n v="8430"/>
  </r>
  <r>
    <x v="3"/>
    <x v="2"/>
    <n v="2141"/>
    <n v="5"/>
    <n v="2.2000000000000002"/>
    <x v="3"/>
    <n v="8"/>
    <x v="3"/>
    <x v="0"/>
    <n v="10705"/>
  </r>
  <r>
    <x v="3"/>
    <x v="2"/>
    <n v="1143"/>
    <n v="5"/>
    <n v="2.2000000000000002"/>
    <x v="5"/>
    <n v="10"/>
    <x v="5"/>
    <x v="0"/>
    <n v="5715"/>
  </r>
  <r>
    <x v="3"/>
    <x v="2"/>
    <n v="615"/>
    <n v="5"/>
    <n v="2.2000000000000002"/>
    <x v="6"/>
    <n v="12"/>
    <x v="6"/>
    <x v="0"/>
    <n v="3075"/>
  </r>
  <r>
    <x v="2"/>
    <x v="2"/>
    <n v="259"/>
    <n v="5"/>
    <n v="2.2000000000000002"/>
    <x v="11"/>
    <n v="3"/>
    <x v="11"/>
    <x v="0"/>
    <n v="1295"/>
  </r>
  <r>
    <x v="1"/>
    <x v="2"/>
    <n v="1101"/>
    <n v="5"/>
    <n v="2.2000000000000002"/>
    <x v="11"/>
    <n v="3"/>
    <x v="11"/>
    <x v="0"/>
    <n v="5505"/>
  </r>
  <r>
    <x v="2"/>
    <x v="2"/>
    <n v="2276"/>
    <n v="5"/>
    <n v="2.2000000000000002"/>
    <x v="8"/>
    <n v="5"/>
    <x v="8"/>
    <x v="0"/>
    <n v="11380"/>
  </r>
  <r>
    <x v="3"/>
    <x v="2"/>
    <n v="1236"/>
    <n v="5"/>
    <n v="2.2000000000000002"/>
    <x v="10"/>
    <n v="11"/>
    <x v="10"/>
    <x v="0"/>
    <n v="6180"/>
  </r>
  <r>
    <x v="4"/>
    <x v="2"/>
    <n v="941"/>
    <n v="5"/>
    <n v="2.2000000000000002"/>
    <x v="10"/>
    <n v="11"/>
    <x v="10"/>
    <x v="0"/>
    <n v="4705"/>
  </r>
  <r>
    <x v="0"/>
    <x v="2"/>
    <n v="1916"/>
    <n v="5"/>
    <n v="2.2000000000000002"/>
    <x v="6"/>
    <n v="12"/>
    <x v="6"/>
    <x v="0"/>
    <n v="9580"/>
  </r>
  <r>
    <x v="1"/>
    <x v="2"/>
    <n v="1865"/>
    <n v="5"/>
    <n v="2.2000000000000002"/>
    <x v="0"/>
    <n v="2"/>
    <x v="0"/>
    <x v="0"/>
    <n v="9325"/>
  </r>
  <r>
    <x v="1"/>
    <x v="2"/>
    <n v="1074"/>
    <n v="5"/>
    <n v="2.2000000000000002"/>
    <x v="9"/>
    <n v="4"/>
    <x v="9"/>
    <x v="0"/>
    <n v="5370"/>
  </r>
  <r>
    <x v="2"/>
    <x v="2"/>
    <n v="1907"/>
    <n v="5"/>
    <n v="2.2000000000000002"/>
    <x v="4"/>
    <n v="9"/>
    <x v="4"/>
    <x v="0"/>
    <n v="9535"/>
  </r>
  <r>
    <x v="1"/>
    <x v="2"/>
    <n v="1683"/>
    <n v="5"/>
    <n v="2.2000000000000002"/>
    <x v="2"/>
    <n v="7"/>
    <x v="2"/>
    <x v="0"/>
    <n v="8415"/>
  </r>
  <r>
    <x v="1"/>
    <x v="2"/>
    <n v="1123"/>
    <n v="5"/>
    <n v="2.2000000000000002"/>
    <x v="3"/>
    <n v="8"/>
    <x v="3"/>
    <x v="0"/>
    <n v="5615"/>
  </r>
  <r>
    <x v="2"/>
    <x v="2"/>
    <n v="1350"/>
    <n v="5"/>
    <n v="2.2000000000000002"/>
    <x v="0"/>
    <n v="2"/>
    <x v="0"/>
    <x v="0"/>
    <n v="6750"/>
  </r>
  <r>
    <x v="0"/>
    <x v="2"/>
    <n v="552"/>
    <n v="5"/>
    <n v="2.2000000000000002"/>
    <x v="3"/>
    <n v="8"/>
    <x v="3"/>
    <x v="0"/>
    <n v="2760"/>
  </r>
  <r>
    <x v="2"/>
    <x v="2"/>
    <n v="1250"/>
    <n v="5"/>
    <n v="2.2000000000000002"/>
    <x v="6"/>
    <n v="12"/>
    <x v="6"/>
    <x v="0"/>
    <n v="6250"/>
  </r>
  <r>
    <x v="4"/>
    <x v="2"/>
    <n v="1987.5"/>
    <n v="5"/>
    <n v="2.2000000000000002"/>
    <x v="7"/>
    <n v="1"/>
    <x v="7"/>
    <x v="0"/>
    <n v="9937.5"/>
  </r>
  <r>
    <x v="1"/>
    <x v="2"/>
    <n v="1679"/>
    <n v="5"/>
    <n v="2.2000000000000002"/>
    <x v="4"/>
    <n v="9"/>
    <x v="4"/>
    <x v="0"/>
    <n v="8395"/>
  </r>
  <r>
    <x v="0"/>
    <x v="2"/>
    <n v="1135"/>
    <n v="5"/>
    <n v="2.2000000000000002"/>
    <x v="1"/>
    <n v="6"/>
    <x v="1"/>
    <x v="0"/>
    <n v="5675"/>
  </r>
  <r>
    <x v="0"/>
    <x v="2"/>
    <n v="1645"/>
    <n v="5"/>
    <n v="2.2000000000000002"/>
    <x v="8"/>
    <n v="5"/>
    <x v="8"/>
    <x v="0"/>
    <n v="8225"/>
  </r>
  <r>
    <x v="4"/>
    <x v="2"/>
    <n v="2876"/>
    <n v="5"/>
    <n v="2.2000000000000002"/>
    <x v="4"/>
    <n v="9"/>
    <x v="4"/>
    <x v="0"/>
    <n v="14380"/>
  </r>
  <r>
    <x v="0"/>
    <x v="2"/>
    <n v="1118"/>
    <n v="5"/>
    <n v="2.2000000000000002"/>
    <x v="10"/>
    <n v="11"/>
    <x v="10"/>
    <x v="0"/>
    <n v="5590"/>
  </r>
  <r>
    <x v="3"/>
    <x v="2"/>
    <n v="1372"/>
    <n v="5"/>
    <n v="2.2000000000000002"/>
    <x v="6"/>
    <n v="12"/>
    <x v="6"/>
    <x v="0"/>
    <n v="6860"/>
  </r>
  <r>
    <x v="3"/>
    <x v="2"/>
    <n v="1282"/>
    <n v="5"/>
    <n v="2.2000000000000002"/>
    <x v="1"/>
    <n v="6"/>
    <x v="1"/>
    <x v="0"/>
    <n v="6410"/>
  </r>
  <r>
    <x v="0"/>
    <x v="2"/>
    <n v="708"/>
    <n v="5"/>
    <n v="2.2000000000000002"/>
    <x v="1"/>
    <n v="6"/>
    <x v="1"/>
    <x v="0"/>
    <n v="3540"/>
  </r>
  <r>
    <x v="3"/>
    <x v="2"/>
    <n v="2907"/>
    <n v="5"/>
    <n v="2.2000000000000002"/>
    <x v="1"/>
    <n v="6"/>
    <x v="1"/>
    <x v="0"/>
    <n v="14535"/>
  </r>
  <r>
    <x v="2"/>
    <x v="2"/>
    <n v="1366"/>
    <n v="5"/>
    <n v="2.2000000000000002"/>
    <x v="1"/>
    <n v="6"/>
    <x v="1"/>
    <x v="0"/>
    <n v="6830"/>
  </r>
  <r>
    <x v="1"/>
    <x v="2"/>
    <n v="2460"/>
    <n v="5"/>
    <n v="2.2000000000000002"/>
    <x v="1"/>
    <n v="6"/>
    <x v="1"/>
    <x v="0"/>
    <n v="12300"/>
  </r>
  <r>
    <x v="2"/>
    <x v="2"/>
    <n v="1520"/>
    <n v="5"/>
    <n v="2.2000000000000002"/>
    <x v="10"/>
    <n v="11"/>
    <x v="10"/>
    <x v="0"/>
    <n v="7600"/>
  </r>
  <r>
    <x v="2"/>
    <x v="2"/>
    <n v="711"/>
    <n v="5"/>
    <n v="2.2000000000000002"/>
    <x v="6"/>
    <n v="12"/>
    <x v="6"/>
    <x v="0"/>
    <n v="3555"/>
  </r>
  <r>
    <x v="1"/>
    <x v="2"/>
    <n v="635"/>
    <n v="5"/>
    <n v="2.2000000000000002"/>
    <x v="6"/>
    <n v="12"/>
    <x v="6"/>
    <x v="0"/>
    <n v="3175"/>
  </r>
  <r>
    <x v="3"/>
    <x v="2"/>
    <n v="2071"/>
    <n v="5"/>
    <n v="2.2000000000000002"/>
    <x v="4"/>
    <n v="9"/>
    <x v="4"/>
    <x v="0"/>
    <n v="10355"/>
  </r>
  <r>
    <x v="0"/>
    <x v="2"/>
    <n v="1269"/>
    <n v="5"/>
    <n v="2.2000000000000002"/>
    <x v="5"/>
    <n v="10"/>
    <x v="5"/>
    <x v="0"/>
    <n v="6345"/>
  </r>
  <r>
    <x v="1"/>
    <x v="2"/>
    <n v="1694"/>
    <n v="5"/>
    <n v="2.2000000000000002"/>
    <x v="10"/>
    <n v="11"/>
    <x v="10"/>
    <x v="0"/>
    <n v="8470"/>
  </r>
  <r>
    <x v="1"/>
    <x v="2"/>
    <n v="1038"/>
    <n v="5"/>
    <n v="2.2000000000000002"/>
    <x v="1"/>
    <n v="6"/>
    <x v="1"/>
    <x v="0"/>
    <n v="5190"/>
  </r>
  <r>
    <x v="0"/>
    <x v="2"/>
    <n v="1630.5"/>
    <n v="5"/>
    <n v="2.2000000000000002"/>
    <x v="2"/>
    <n v="7"/>
    <x v="2"/>
    <x v="0"/>
    <n v="8152.5"/>
  </r>
  <r>
    <x v="3"/>
    <x v="2"/>
    <n v="579"/>
    <n v="5"/>
    <n v="2.2000000000000002"/>
    <x v="7"/>
    <n v="1"/>
    <x v="7"/>
    <x v="0"/>
    <n v="2895"/>
  </r>
  <r>
    <x v="0"/>
    <x v="2"/>
    <n v="2240"/>
    <n v="5"/>
    <n v="2.2000000000000002"/>
    <x v="0"/>
    <n v="2"/>
    <x v="0"/>
    <x v="0"/>
    <n v="11200"/>
  </r>
  <r>
    <x v="3"/>
    <x v="2"/>
    <n v="2993"/>
    <n v="5"/>
    <n v="2.2000000000000002"/>
    <x v="11"/>
    <n v="3"/>
    <x v="11"/>
    <x v="0"/>
    <n v="14965"/>
  </r>
  <r>
    <x v="0"/>
    <x v="2"/>
    <n v="3520.5"/>
    <n v="5"/>
    <n v="2.2000000000000002"/>
    <x v="9"/>
    <n v="4"/>
    <x v="9"/>
    <x v="0"/>
    <n v="17602.5"/>
  </r>
  <r>
    <x v="1"/>
    <x v="2"/>
    <n v="2039"/>
    <n v="5"/>
    <n v="2.2000000000000002"/>
    <x v="8"/>
    <n v="5"/>
    <x v="8"/>
    <x v="0"/>
    <n v="10195"/>
  </r>
  <r>
    <x v="2"/>
    <x v="2"/>
    <n v="2574"/>
    <n v="5"/>
    <n v="2.2000000000000002"/>
    <x v="3"/>
    <n v="8"/>
    <x v="3"/>
    <x v="0"/>
    <n v="12870"/>
  </r>
  <r>
    <x v="0"/>
    <x v="2"/>
    <n v="707"/>
    <n v="5"/>
    <n v="2.2000000000000002"/>
    <x v="4"/>
    <n v="9"/>
    <x v="4"/>
    <x v="0"/>
    <n v="3535"/>
  </r>
  <r>
    <x v="4"/>
    <x v="2"/>
    <n v="2072"/>
    <n v="5"/>
    <n v="2.2000000000000002"/>
    <x v="6"/>
    <n v="12"/>
    <x v="6"/>
    <x v="0"/>
    <n v="10360"/>
  </r>
  <r>
    <x v="4"/>
    <x v="2"/>
    <n v="853"/>
    <n v="5"/>
    <n v="2.2000000000000002"/>
    <x v="6"/>
    <n v="12"/>
    <x v="6"/>
    <x v="0"/>
    <n v="4265"/>
  </r>
  <r>
    <x v="3"/>
    <x v="2"/>
    <n v="3199.5"/>
    <n v="5"/>
    <n v="2.2000000000000002"/>
    <x v="2"/>
    <n v="7"/>
    <x v="2"/>
    <x v="0"/>
    <n v="15997.5"/>
  </r>
  <r>
    <x v="2"/>
    <x v="2"/>
    <n v="472"/>
    <n v="5"/>
    <n v="2.2000000000000002"/>
    <x v="5"/>
    <n v="10"/>
    <x v="5"/>
    <x v="0"/>
    <n v="2360"/>
  </r>
  <r>
    <x v="2"/>
    <x v="2"/>
    <n v="3165"/>
    <n v="5"/>
    <n v="2.2000000000000002"/>
    <x v="7"/>
    <n v="1"/>
    <x v="7"/>
    <x v="0"/>
    <n v="15825"/>
  </r>
  <r>
    <x v="1"/>
    <x v="2"/>
    <n v="2629"/>
    <n v="5"/>
    <n v="2.2000000000000002"/>
    <x v="7"/>
    <n v="1"/>
    <x v="7"/>
    <x v="0"/>
    <n v="13145"/>
  </r>
  <r>
    <x v="4"/>
    <x v="2"/>
    <n v="1433"/>
    <n v="5"/>
    <n v="2.2000000000000002"/>
    <x v="8"/>
    <n v="5"/>
    <x v="8"/>
    <x v="0"/>
    <n v="7165"/>
  </r>
  <r>
    <x v="1"/>
    <x v="2"/>
    <n v="2157"/>
    <n v="5"/>
    <n v="2.2000000000000002"/>
    <x v="6"/>
    <n v="12"/>
    <x v="6"/>
    <x v="0"/>
    <n v="10785"/>
  </r>
  <r>
    <x v="3"/>
    <x v="2"/>
    <n v="270"/>
    <n v="5"/>
    <n v="2.2000000000000002"/>
    <x v="0"/>
    <n v="2"/>
    <x v="0"/>
    <x v="0"/>
    <n v="1350"/>
  </r>
  <r>
    <x v="4"/>
    <x v="2"/>
    <n v="3421.5"/>
    <n v="5"/>
    <n v="2.2000000000000002"/>
    <x v="2"/>
    <n v="7"/>
    <x v="2"/>
    <x v="0"/>
    <n v="17107.5"/>
  </r>
  <r>
    <x v="0"/>
    <x v="2"/>
    <n v="2734"/>
    <n v="5"/>
    <n v="2.2000000000000002"/>
    <x v="5"/>
    <n v="10"/>
    <x v="5"/>
    <x v="0"/>
    <n v="13670"/>
  </r>
  <r>
    <x v="0"/>
    <x v="2"/>
    <n v="1659"/>
    <n v="5"/>
    <n v="2.2000000000000002"/>
    <x v="7"/>
    <n v="1"/>
    <x v="7"/>
    <x v="0"/>
    <n v="8295"/>
  </r>
  <r>
    <x v="4"/>
    <x v="2"/>
    <n v="1190"/>
    <n v="5"/>
    <n v="2.2000000000000002"/>
    <x v="1"/>
    <n v="6"/>
    <x v="1"/>
    <x v="0"/>
    <n v="5950"/>
  </r>
  <r>
    <x v="1"/>
    <x v="2"/>
    <n v="410"/>
    <n v="5"/>
    <n v="2.2000000000000002"/>
    <x v="5"/>
    <n v="10"/>
    <x v="5"/>
    <x v="0"/>
    <n v="2050"/>
  </r>
  <r>
    <x v="4"/>
    <x v="2"/>
    <n v="1393"/>
    <n v="5"/>
    <n v="2.2000000000000002"/>
    <x v="5"/>
    <n v="10"/>
    <x v="5"/>
    <x v="0"/>
    <n v="6965"/>
  </r>
  <r>
    <x v="0"/>
    <x v="2"/>
    <n v="888"/>
    <n v="5"/>
    <n v="2.2000000000000002"/>
    <x v="11"/>
    <n v="3"/>
    <x v="11"/>
    <x v="0"/>
    <n v="4440"/>
  </r>
  <r>
    <x v="3"/>
    <x v="2"/>
    <n v="2844"/>
    <n v="5"/>
    <n v="2.2000000000000002"/>
    <x v="8"/>
    <n v="5"/>
    <x v="8"/>
    <x v="0"/>
    <n v="14220"/>
  </r>
  <r>
    <x v="4"/>
    <x v="2"/>
    <n v="2475"/>
    <n v="5"/>
    <n v="2.2000000000000002"/>
    <x v="3"/>
    <n v="8"/>
    <x v="3"/>
    <x v="0"/>
    <n v="12375"/>
  </r>
  <r>
    <x v="3"/>
    <x v="2"/>
    <n v="2914"/>
    <n v="5"/>
    <n v="2.2000000000000002"/>
    <x v="5"/>
    <n v="10"/>
    <x v="5"/>
    <x v="0"/>
    <n v="14570"/>
  </r>
  <r>
    <x v="4"/>
    <x v="2"/>
    <n v="1731"/>
    <n v="5"/>
    <n v="2.2000000000000002"/>
    <x v="5"/>
    <n v="10"/>
    <x v="5"/>
    <x v="0"/>
    <n v="8655"/>
  </r>
  <r>
    <x v="4"/>
    <x v="2"/>
    <n v="2475"/>
    <n v="5"/>
    <n v="2.2000000000000002"/>
    <x v="11"/>
    <n v="3"/>
    <x v="11"/>
    <x v="0"/>
    <n v="12375"/>
  </r>
  <r>
    <x v="1"/>
    <x v="2"/>
    <n v="546"/>
    <n v="5"/>
    <n v="2.2000000000000002"/>
    <x v="5"/>
    <n v="10"/>
    <x v="5"/>
    <x v="0"/>
    <n v="2730"/>
  </r>
  <r>
    <x v="0"/>
    <x v="3"/>
    <n v="1618.5"/>
    <n v="4"/>
    <n v="1.5"/>
    <x v="7"/>
    <n v="1"/>
    <x v="7"/>
    <x v="0"/>
    <n v="6474"/>
  </r>
  <r>
    <x v="2"/>
    <x v="3"/>
    <n v="1321"/>
    <n v="4"/>
    <n v="1.5"/>
    <x v="7"/>
    <n v="1"/>
    <x v="7"/>
    <x v="0"/>
    <n v="5284"/>
  </r>
  <r>
    <x v="4"/>
    <x v="3"/>
    <n v="2178"/>
    <n v="4"/>
    <n v="1.5"/>
    <x v="1"/>
    <n v="6"/>
    <x v="1"/>
    <x v="0"/>
    <n v="8712"/>
  </r>
  <r>
    <x v="2"/>
    <x v="3"/>
    <n v="888"/>
    <n v="4"/>
    <n v="1.5"/>
    <x v="1"/>
    <n v="6"/>
    <x v="1"/>
    <x v="0"/>
    <n v="3552"/>
  </r>
  <r>
    <x v="1"/>
    <x v="3"/>
    <n v="2470"/>
    <n v="4"/>
    <n v="1.5"/>
    <x v="1"/>
    <n v="6"/>
    <x v="1"/>
    <x v="0"/>
    <n v="9880"/>
  </r>
  <r>
    <x v="2"/>
    <x v="3"/>
    <n v="1513"/>
    <n v="4"/>
    <n v="1.5"/>
    <x v="6"/>
    <n v="12"/>
    <x v="6"/>
    <x v="0"/>
    <n v="6052"/>
  </r>
  <r>
    <x v="3"/>
    <x v="3"/>
    <n v="1858"/>
    <n v="4"/>
    <n v="1.5"/>
    <x v="0"/>
    <n v="2"/>
    <x v="0"/>
    <x v="0"/>
    <n v="7432"/>
  </r>
  <r>
    <x v="1"/>
    <x v="3"/>
    <n v="1210"/>
    <n v="4"/>
    <n v="1.5"/>
    <x v="11"/>
    <n v="3"/>
    <x v="11"/>
    <x v="0"/>
    <n v="4840"/>
  </r>
  <r>
    <x v="3"/>
    <x v="3"/>
    <n v="2529"/>
    <n v="4"/>
    <n v="1.5"/>
    <x v="2"/>
    <n v="7"/>
    <x v="2"/>
    <x v="0"/>
    <n v="10116"/>
  </r>
  <r>
    <x v="0"/>
    <x v="3"/>
    <n v="1445"/>
    <n v="4"/>
    <n v="1.5"/>
    <x v="4"/>
    <n v="9"/>
    <x v="4"/>
    <x v="0"/>
    <n v="5780"/>
  </r>
  <r>
    <x v="4"/>
    <x v="3"/>
    <n v="2671"/>
    <n v="4"/>
    <n v="1.5"/>
    <x v="4"/>
    <n v="9"/>
    <x v="4"/>
    <x v="0"/>
    <n v="10684"/>
  </r>
  <r>
    <x v="1"/>
    <x v="3"/>
    <n v="1397"/>
    <n v="4"/>
    <n v="1.5"/>
    <x v="5"/>
    <n v="10"/>
    <x v="5"/>
    <x v="0"/>
    <n v="5588"/>
  </r>
  <r>
    <x v="4"/>
    <x v="3"/>
    <n v="2155"/>
    <n v="4"/>
    <n v="1.5"/>
    <x v="6"/>
    <n v="12"/>
    <x v="6"/>
    <x v="0"/>
    <n v="8620"/>
  </r>
  <r>
    <x v="0"/>
    <x v="3"/>
    <n v="742.5"/>
    <n v="4"/>
    <n v="1.5"/>
    <x v="9"/>
    <n v="4"/>
    <x v="9"/>
    <x v="0"/>
    <n v="2970"/>
  </r>
  <r>
    <x v="0"/>
    <x v="3"/>
    <n v="1295"/>
    <n v="4"/>
    <n v="1.5"/>
    <x v="5"/>
    <n v="10"/>
    <x v="5"/>
    <x v="0"/>
    <n v="5180"/>
  </r>
  <r>
    <x v="0"/>
    <x v="3"/>
    <n v="2852"/>
    <n v="4"/>
    <n v="1.5"/>
    <x v="6"/>
    <n v="12"/>
    <x v="6"/>
    <x v="0"/>
    <n v="11408"/>
  </r>
  <r>
    <x v="4"/>
    <x v="3"/>
    <n v="4243.5"/>
    <n v="4"/>
    <n v="1.5"/>
    <x v="9"/>
    <n v="4"/>
    <x v="9"/>
    <x v="0"/>
    <n v="16974"/>
  </r>
  <r>
    <x v="2"/>
    <x v="3"/>
    <n v="2580"/>
    <n v="4"/>
    <n v="1.5"/>
    <x v="9"/>
    <n v="4"/>
    <x v="9"/>
    <x v="0"/>
    <n v="10320"/>
  </r>
  <r>
    <x v="2"/>
    <x v="3"/>
    <n v="689"/>
    <n v="4"/>
    <n v="1.5"/>
    <x v="1"/>
    <n v="6"/>
    <x v="1"/>
    <x v="0"/>
    <n v="2756"/>
  </r>
  <r>
    <x v="3"/>
    <x v="3"/>
    <n v="1947"/>
    <n v="4"/>
    <n v="1.5"/>
    <x v="4"/>
    <n v="9"/>
    <x v="4"/>
    <x v="0"/>
    <n v="7788"/>
  </r>
  <r>
    <x v="0"/>
    <x v="3"/>
    <n v="831"/>
    <n v="4"/>
    <n v="1.5"/>
    <x v="8"/>
    <n v="5"/>
    <x v="8"/>
    <x v="0"/>
    <n v="3324"/>
  </r>
  <r>
    <x v="2"/>
    <x v="3"/>
    <n v="2021"/>
    <n v="4"/>
    <n v="1.5"/>
    <x v="5"/>
    <n v="10"/>
    <x v="5"/>
    <x v="0"/>
    <n v="8084"/>
  </r>
  <r>
    <x v="3"/>
    <x v="3"/>
    <n v="274"/>
    <n v="4"/>
    <n v="1.5"/>
    <x v="6"/>
    <n v="12"/>
    <x v="6"/>
    <x v="0"/>
    <n v="1096"/>
  </r>
  <r>
    <x v="4"/>
    <x v="3"/>
    <n v="1865"/>
    <n v="4"/>
    <n v="1.5"/>
    <x v="0"/>
    <n v="2"/>
    <x v="0"/>
    <x v="0"/>
    <n v="7460"/>
  </r>
  <r>
    <x v="2"/>
    <x v="3"/>
    <n v="1116"/>
    <n v="4"/>
    <n v="1.5"/>
    <x v="0"/>
    <n v="2"/>
    <x v="0"/>
    <x v="0"/>
    <n v="4464"/>
  </r>
  <r>
    <x v="4"/>
    <x v="3"/>
    <n v="1563"/>
    <n v="4"/>
    <n v="1.5"/>
    <x v="8"/>
    <n v="5"/>
    <x v="8"/>
    <x v="0"/>
    <n v="6252"/>
  </r>
  <r>
    <x v="3"/>
    <x v="3"/>
    <n v="991"/>
    <n v="4"/>
    <n v="1.5"/>
    <x v="1"/>
    <n v="6"/>
    <x v="1"/>
    <x v="0"/>
    <n v="3964"/>
  </r>
  <r>
    <x v="1"/>
    <x v="3"/>
    <n v="2791"/>
    <n v="4"/>
    <n v="1.5"/>
    <x v="10"/>
    <n v="11"/>
    <x v="10"/>
    <x v="0"/>
    <n v="11164"/>
  </r>
  <r>
    <x v="3"/>
    <x v="3"/>
    <n v="570"/>
    <n v="4"/>
    <n v="1.5"/>
    <x v="6"/>
    <n v="12"/>
    <x v="6"/>
    <x v="0"/>
    <n v="2280"/>
  </r>
  <r>
    <x v="4"/>
    <x v="3"/>
    <n v="2487"/>
    <n v="4"/>
    <n v="1.5"/>
    <x v="6"/>
    <n v="12"/>
    <x v="6"/>
    <x v="0"/>
    <n v="9948"/>
  </r>
  <r>
    <x v="3"/>
    <x v="3"/>
    <n v="1117.5"/>
    <n v="4"/>
    <n v="1.5"/>
    <x v="7"/>
    <n v="1"/>
    <x v="7"/>
    <x v="0"/>
    <n v="4470"/>
  </r>
  <r>
    <x v="0"/>
    <x v="3"/>
    <n v="2844"/>
    <n v="4"/>
    <n v="1.5"/>
    <x v="1"/>
    <n v="6"/>
    <x v="1"/>
    <x v="0"/>
    <n v="11376"/>
  </r>
  <r>
    <x v="1"/>
    <x v="3"/>
    <n v="562"/>
    <n v="4"/>
    <n v="1.5"/>
    <x v="4"/>
    <n v="9"/>
    <x v="4"/>
    <x v="0"/>
    <n v="2248"/>
  </r>
  <r>
    <x v="3"/>
    <x v="3"/>
    <n v="2030"/>
    <n v="4"/>
    <n v="1.5"/>
    <x v="10"/>
    <n v="11"/>
    <x v="10"/>
    <x v="0"/>
    <n v="8120"/>
  </r>
  <r>
    <x v="1"/>
    <x v="3"/>
    <n v="727"/>
    <n v="4"/>
    <n v="1.5"/>
    <x v="0"/>
    <n v="2"/>
    <x v="0"/>
    <x v="0"/>
    <n v="2908"/>
  </r>
  <r>
    <x v="0"/>
    <x v="3"/>
    <n v="1884"/>
    <n v="4"/>
    <n v="1.5"/>
    <x v="3"/>
    <n v="8"/>
    <x v="3"/>
    <x v="0"/>
    <n v="7536"/>
  </r>
  <r>
    <x v="3"/>
    <x v="3"/>
    <n v="1761"/>
    <n v="4"/>
    <n v="1.5"/>
    <x v="11"/>
    <n v="3"/>
    <x v="11"/>
    <x v="0"/>
    <n v="7044"/>
  </r>
  <r>
    <x v="4"/>
    <x v="3"/>
    <n v="448"/>
    <n v="4"/>
    <n v="1.5"/>
    <x v="1"/>
    <n v="6"/>
    <x v="1"/>
    <x v="0"/>
    <n v="1792"/>
  </r>
  <r>
    <x v="4"/>
    <x v="3"/>
    <n v="2181"/>
    <n v="4"/>
    <n v="1.5"/>
    <x v="5"/>
    <n v="10"/>
    <x v="5"/>
    <x v="0"/>
    <n v="8724"/>
  </r>
  <r>
    <x v="1"/>
    <x v="3"/>
    <n v="1540"/>
    <n v="4"/>
    <n v="1.5"/>
    <x v="3"/>
    <n v="8"/>
    <x v="3"/>
    <x v="0"/>
    <n v="6160"/>
  </r>
  <r>
    <x v="4"/>
    <x v="3"/>
    <n v="490"/>
    <n v="4"/>
    <n v="1.5"/>
    <x v="10"/>
    <n v="11"/>
    <x v="10"/>
    <x v="0"/>
    <n v="1960"/>
  </r>
  <r>
    <x v="1"/>
    <x v="3"/>
    <n v="1362"/>
    <n v="4"/>
    <n v="1.5"/>
    <x v="6"/>
    <n v="12"/>
    <x v="6"/>
    <x v="0"/>
    <n v="5448"/>
  </r>
  <r>
    <x v="0"/>
    <x v="3"/>
    <n v="1094"/>
    <n v="4"/>
    <n v="1.5"/>
    <x v="1"/>
    <n v="6"/>
    <x v="1"/>
    <x v="0"/>
    <n v="4376"/>
  </r>
  <r>
    <x v="2"/>
    <x v="3"/>
    <n v="663"/>
    <n v="4"/>
    <n v="1.5"/>
    <x v="8"/>
    <n v="5"/>
    <x v="8"/>
    <x v="0"/>
    <n v="2652"/>
  </r>
  <r>
    <x v="0"/>
    <x v="3"/>
    <n v="819"/>
    <n v="4"/>
    <n v="1.5"/>
    <x v="2"/>
    <n v="7"/>
    <x v="2"/>
    <x v="0"/>
    <n v="3276"/>
  </r>
  <r>
    <x v="2"/>
    <x v="3"/>
    <n v="1580"/>
    <n v="4"/>
    <n v="1.5"/>
    <x v="4"/>
    <n v="9"/>
    <x v="4"/>
    <x v="0"/>
    <n v="6320"/>
  </r>
  <r>
    <x v="1"/>
    <x v="3"/>
    <n v="521"/>
    <n v="4"/>
    <n v="1.5"/>
    <x v="6"/>
    <n v="12"/>
    <x v="6"/>
    <x v="0"/>
    <n v="2084"/>
  </r>
  <r>
    <x v="3"/>
    <x v="3"/>
    <n v="3445.5"/>
    <n v="4"/>
    <n v="1.5"/>
    <x v="9"/>
    <n v="4"/>
    <x v="9"/>
    <x v="0"/>
    <n v="13782"/>
  </r>
  <r>
    <x v="0"/>
    <x v="3"/>
    <n v="1937"/>
    <n v="4"/>
    <n v="1.5"/>
    <x v="0"/>
    <n v="2"/>
    <x v="0"/>
    <x v="0"/>
    <n v="7748"/>
  </r>
  <r>
    <x v="2"/>
    <x v="3"/>
    <n v="792"/>
    <n v="4"/>
    <n v="1.5"/>
    <x v="11"/>
    <n v="3"/>
    <x v="11"/>
    <x v="0"/>
    <n v="3168"/>
  </r>
  <r>
    <x v="2"/>
    <x v="3"/>
    <n v="2811"/>
    <n v="4"/>
    <n v="1.5"/>
    <x v="2"/>
    <n v="7"/>
    <x v="2"/>
    <x v="0"/>
    <n v="11244"/>
  </r>
  <r>
    <x v="4"/>
    <x v="3"/>
    <n v="2441"/>
    <n v="4"/>
    <n v="1.5"/>
    <x v="5"/>
    <n v="10"/>
    <x v="5"/>
    <x v="0"/>
    <n v="9764"/>
  </r>
  <r>
    <x v="1"/>
    <x v="3"/>
    <n v="886"/>
    <n v="4"/>
    <n v="1.5"/>
    <x v="1"/>
    <n v="6"/>
    <x v="1"/>
    <x v="0"/>
    <n v="3544"/>
  </r>
  <r>
    <x v="1"/>
    <x v="3"/>
    <n v="2156"/>
    <n v="4"/>
    <n v="1.5"/>
    <x v="5"/>
    <n v="10"/>
    <x v="5"/>
    <x v="0"/>
    <n v="8624"/>
  </r>
  <r>
    <x v="0"/>
    <x v="3"/>
    <n v="2689"/>
    <n v="4"/>
    <n v="1.5"/>
    <x v="10"/>
    <n v="11"/>
    <x v="10"/>
    <x v="0"/>
    <n v="10756"/>
  </r>
  <r>
    <x v="4"/>
    <x v="3"/>
    <n v="2521.5"/>
    <n v="4"/>
    <n v="1.5"/>
    <x v="7"/>
    <n v="1"/>
    <x v="7"/>
    <x v="0"/>
    <n v="10086"/>
  </r>
  <r>
    <x v="3"/>
    <x v="3"/>
    <n v="2567"/>
    <n v="4"/>
    <n v="1.5"/>
    <x v="1"/>
    <n v="6"/>
    <x v="1"/>
    <x v="0"/>
    <n v="10268"/>
  </r>
  <r>
    <x v="0"/>
    <x v="3"/>
    <n v="923"/>
    <n v="4"/>
    <n v="1.5"/>
    <x v="11"/>
    <n v="3"/>
    <x v="11"/>
    <x v="0"/>
    <n v="3692"/>
  </r>
  <r>
    <x v="4"/>
    <x v="3"/>
    <n v="1790"/>
    <n v="4"/>
    <n v="1.5"/>
    <x v="11"/>
    <n v="3"/>
    <x v="11"/>
    <x v="0"/>
    <n v="7160"/>
  </r>
  <r>
    <x v="1"/>
    <x v="3"/>
    <n v="2579"/>
    <n v="4"/>
    <n v="1.5"/>
    <x v="9"/>
    <n v="4"/>
    <x v="9"/>
    <x v="0"/>
    <n v="10316"/>
  </r>
  <r>
    <x v="3"/>
    <x v="3"/>
    <n v="1743"/>
    <n v="4"/>
    <n v="1.5"/>
    <x v="8"/>
    <n v="5"/>
    <x v="8"/>
    <x v="0"/>
    <n v="6972"/>
  </r>
  <r>
    <x v="2"/>
    <x v="3"/>
    <n v="280"/>
    <n v="4"/>
    <n v="1.5"/>
    <x v="6"/>
    <n v="12"/>
    <x v="6"/>
    <x v="0"/>
    <n v="1120"/>
  </r>
  <r>
    <x v="1"/>
    <x v="3"/>
    <n v="801"/>
    <n v="4"/>
    <n v="1.5"/>
    <x v="2"/>
    <n v="7"/>
    <x v="2"/>
    <x v="0"/>
    <n v="3204"/>
  </r>
  <r>
    <x v="0"/>
    <x v="3"/>
    <n v="1496"/>
    <n v="4"/>
    <n v="1.5"/>
    <x v="5"/>
    <n v="10"/>
    <x v="5"/>
    <x v="0"/>
    <n v="5984"/>
  </r>
  <r>
    <x v="3"/>
    <x v="3"/>
    <n v="1010"/>
    <n v="4"/>
    <n v="1.5"/>
    <x v="5"/>
    <n v="10"/>
    <x v="5"/>
    <x v="0"/>
    <n v="4040"/>
  </r>
  <r>
    <x v="2"/>
    <x v="3"/>
    <n v="1513"/>
    <n v="4"/>
    <n v="1.5"/>
    <x v="10"/>
    <n v="11"/>
    <x v="10"/>
    <x v="0"/>
    <n v="6052"/>
  </r>
  <r>
    <x v="0"/>
    <x v="3"/>
    <n v="2300"/>
    <n v="4"/>
    <n v="1.5"/>
    <x v="6"/>
    <n v="12"/>
    <x v="6"/>
    <x v="0"/>
    <n v="9200"/>
  </r>
  <r>
    <x v="4"/>
    <x v="3"/>
    <n v="1174"/>
    <n v="4"/>
    <n v="1.5"/>
    <x v="3"/>
    <n v="8"/>
    <x v="3"/>
    <x v="0"/>
    <n v="4696"/>
  </r>
  <r>
    <x v="2"/>
    <x v="3"/>
    <n v="2767"/>
    <n v="4"/>
    <n v="1.5"/>
    <x v="3"/>
    <n v="8"/>
    <x v="3"/>
    <x v="0"/>
    <n v="11068"/>
  </r>
  <r>
    <x v="2"/>
    <x v="3"/>
    <n v="1085"/>
    <n v="4"/>
    <n v="1.5"/>
    <x v="5"/>
    <n v="10"/>
    <x v="5"/>
    <x v="0"/>
    <n v="4340"/>
  </r>
  <r>
    <x v="0"/>
    <x v="4"/>
    <n v="2001"/>
    <n v="3"/>
    <n v="1.25"/>
    <x v="0"/>
    <n v="2"/>
    <x v="0"/>
    <x v="0"/>
    <n v="6003"/>
  </r>
  <r>
    <x v="2"/>
    <x v="4"/>
    <n v="2838"/>
    <n v="3"/>
    <n v="1.25"/>
    <x v="9"/>
    <n v="4"/>
    <x v="9"/>
    <x v="0"/>
    <n v="8514"/>
  </r>
  <r>
    <x v="4"/>
    <x v="4"/>
    <n v="2178"/>
    <n v="3"/>
    <n v="1.25"/>
    <x v="1"/>
    <n v="6"/>
    <x v="1"/>
    <x v="0"/>
    <n v="6534"/>
  </r>
  <r>
    <x v="2"/>
    <x v="4"/>
    <n v="888"/>
    <n v="3"/>
    <n v="1.25"/>
    <x v="1"/>
    <n v="6"/>
    <x v="1"/>
    <x v="0"/>
    <n v="2664"/>
  </r>
  <r>
    <x v="4"/>
    <x v="4"/>
    <n v="2151"/>
    <n v="3"/>
    <n v="1.25"/>
    <x v="4"/>
    <n v="9"/>
    <x v="4"/>
    <x v="0"/>
    <n v="6453"/>
  </r>
  <r>
    <x v="0"/>
    <x v="4"/>
    <n v="1817"/>
    <n v="3"/>
    <n v="1.25"/>
    <x v="6"/>
    <n v="12"/>
    <x v="6"/>
    <x v="0"/>
    <n v="5451"/>
  </r>
  <r>
    <x v="0"/>
    <x v="4"/>
    <n v="1326"/>
    <n v="3"/>
    <n v="1.25"/>
    <x v="11"/>
    <n v="3"/>
    <x v="11"/>
    <x v="0"/>
    <n v="3978"/>
  </r>
  <r>
    <x v="2"/>
    <x v="4"/>
    <n v="263"/>
    <n v="3"/>
    <n v="1.25"/>
    <x v="11"/>
    <n v="3"/>
    <x v="11"/>
    <x v="0"/>
    <n v="789"/>
  </r>
  <r>
    <x v="0"/>
    <x v="4"/>
    <n v="943.5"/>
    <n v="3"/>
    <n v="1.25"/>
    <x v="9"/>
    <n v="4"/>
    <x v="9"/>
    <x v="0"/>
    <n v="2830.5"/>
  </r>
  <r>
    <x v="3"/>
    <x v="4"/>
    <n v="727"/>
    <n v="3"/>
    <n v="1.25"/>
    <x v="1"/>
    <n v="6"/>
    <x v="1"/>
    <x v="0"/>
    <n v="2181"/>
  </r>
  <r>
    <x v="4"/>
    <x v="4"/>
    <n v="787"/>
    <n v="3"/>
    <n v="1.25"/>
    <x v="1"/>
    <n v="6"/>
    <x v="1"/>
    <x v="0"/>
    <n v="2361"/>
  </r>
  <r>
    <x v="2"/>
    <x v="4"/>
    <n v="986"/>
    <n v="3"/>
    <n v="1.25"/>
    <x v="4"/>
    <n v="9"/>
    <x v="4"/>
    <x v="0"/>
    <n v="2958"/>
  </r>
  <r>
    <x v="1"/>
    <x v="4"/>
    <n v="1397"/>
    <n v="3"/>
    <n v="1.25"/>
    <x v="5"/>
    <n v="10"/>
    <x v="5"/>
    <x v="0"/>
    <n v="4191"/>
  </r>
  <r>
    <x v="4"/>
    <x v="4"/>
    <n v="1744"/>
    <n v="3"/>
    <n v="1.25"/>
    <x v="10"/>
    <n v="11"/>
    <x v="10"/>
    <x v="0"/>
    <n v="5232"/>
  </r>
  <r>
    <x v="1"/>
    <x v="4"/>
    <n v="662"/>
    <n v="3"/>
    <n v="1.25"/>
    <x v="1"/>
    <n v="6"/>
    <x v="1"/>
    <x v="0"/>
    <n v="1986"/>
  </r>
  <r>
    <x v="2"/>
    <x v="4"/>
    <n v="2877"/>
    <n v="3"/>
    <n v="1.25"/>
    <x v="5"/>
    <n v="10"/>
    <x v="5"/>
    <x v="0"/>
    <n v="8631"/>
  </r>
  <r>
    <x v="0"/>
    <x v="4"/>
    <n v="2729"/>
    <n v="3"/>
    <n v="1.25"/>
    <x v="6"/>
    <n v="12"/>
    <x v="6"/>
    <x v="0"/>
    <n v="8187"/>
  </r>
  <r>
    <x v="3"/>
    <x v="4"/>
    <n v="2844"/>
    <n v="3"/>
    <n v="1.25"/>
    <x v="0"/>
    <n v="2"/>
    <x v="0"/>
    <x v="0"/>
    <n v="8532"/>
  </r>
  <r>
    <x v="1"/>
    <x v="4"/>
    <n v="1916"/>
    <n v="3"/>
    <n v="1.25"/>
    <x v="9"/>
    <n v="4"/>
    <x v="9"/>
    <x v="0"/>
    <n v="5748"/>
  </r>
  <r>
    <x v="2"/>
    <x v="4"/>
    <n v="1570"/>
    <n v="3"/>
    <n v="1.25"/>
    <x v="1"/>
    <n v="6"/>
    <x v="1"/>
    <x v="0"/>
    <n v="4710"/>
  </r>
  <r>
    <x v="0"/>
    <x v="4"/>
    <n v="1874"/>
    <n v="3"/>
    <n v="1.25"/>
    <x v="3"/>
    <n v="8"/>
    <x v="3"/>
    <x v="0"/>
    <n v="5622"/>
  </r>
  <r>
    <x v="1"/>
    <x v="4"/>
    <n v="1642"/>
    <n v="3"/>
    <n v="1.25"/>
    <x v="3"/>
    <n v="8"/>
    <x v="3"/>
    <x v="0"/>
    <n v="4926"/>
  </r>
  <r>
    <x v="2"/>
    <x v="4"/>
    <n v="2479"/>
    <n v="3"/>
    <n v="1.25"/>
    <x v="7"/>
    <n v="1"/>
    <x v="7"/>
    <x v="0"/>
    <n v="7437"/>
  </r>
  <r>
    <x v="4"/>
    <x v="4"/>
    <n v="866"/>
    <n v="3"/>
    <n v="1.25"/>
    <x v="8"/>
    <n v="5"/>
    <x v="8"/>
    <x v="0"/>
    <n v="2598"/>
  </r>
  <r>
    <x v="4"/>
    <x v="4"/>
    <n v="2177"/>
    <n v="3"/>
    <n v="1.25"/>
    <x v="5"/>
    <n v="10"/>
    <x v="5"/>
    <x v="0"/>
    <n v="6531"/>
  </r>
  <r>
    <x v="1"/>
    <x v="4"/>
    <n v="2689"/>
    <n v="3"/>
    <n v="1.25"/>
    <x v="5"/>
    <n v="10"/>
    <x v="5"/>
    <x v="0"/>
    <n v="8067"/>
  </r>
  <r>
    <x v="3"/>
    <x v="4"/>
    <n v="2663"/>
    <n v="3"/>
    <n v="1.25"/>
    <x v="6"/>
    <n v="12"/>
    <x v="6"/>
    <x v="0"/>
    <n v="7989"/>
  </r>
  <r>
    <x v="3"/>
    <x v="4"/>
    <n v="570"/>
    <n v="3"/>
    <n v="1.25"/>
    <x v="6"/>
    <n v="12"/>
    <x v="6"/>
    <x v="0"/>
    <n v="1710"/>
  </r>
  <r>
    <x v="4"/>
    <x v="4"/>
    <n v="2487"/>
    <n v="3"/>
    <n v="1.25"/>
    <x v="6"/>
    <n v="12"/>
    <x v="6"/>
    <x v="0"/>
    <n v="7461"/>
  </r>
  <r>
    <x v="0"/>
    <x v="4"/>
    <n v="2844"/>
    <n v="3"/>
    <n v="1.25"/>
    <x v="1"/>
    <n v="6"/>
    <x v="1"/>
    <x v="0"/>
    <n v="8532"/>
  </r>
  <r>
    <x v="1"/>
    <x v="4"/>
    <n v="1498"/>
    <n v="3"/>
    <n v="1.25"/>
    <x v="1"/>
    <n v="6"/>
    <x v="1"/>
    <x v="0"/>
    <n v="4494"/>
  </r>
  <r>
    <x v="3"/>
    <x v="4"/>
    <n v="1153"/>
    <n v="3"/>
    <n v="1.25"/>
    <x v="5"/>
    <n v="10"/>
    <x v="5"/>
    <x v="0"/>
    <n v="3459"/>
  </r>
  <r>
    <x v="4"/>
    <x v="4"/>
    <n v="1738.5"/>
    <n v="3"/>
    <n v="1.25"/>
    <x v="9"/>
    <n v="4"/>
    <x v="9"/>
    <x v="0"/>
    <n v="5215.5"/>
  </r>
  <r>
    <x v="0"/>
    <x v="4"/>
    <n v="1582"/>
    <n v="3"/>
    <n v="1.25"/>
    <x v="6"/>
    <n v="12"/>
    <x v="6"/>
    <x v="0"/>
    <n v="4746"/>
  </r>
  <r>
    <x v="0"/>
    <x v="4"/>
    <n v="3244.5"/>
    <n v="3"/>
    <n v="1.25"/>
    <x v="7"/>
    <n v="1"/>
    <x v="7"/>
    <x v="0"/>
    <n v="9733.5"/>
  </r>
  <r>
    <x v="4"/>
    <x v="4"/>
    <n v="959"/>
    <n v="3"/>
    <n v="1.25"/>
    <x v="0"/>
    <n v="2"/>
    <x v="0"/>
    <x v="0"/>
    <n v="2877"/>
  </r>
  <r>
    <x v="1"/>
    <x v="4"/>
    <n v="2747"/>
    <n v="3"/>
    <n v="1.25"/>
    <x v="0"/>
    <n v="2"/>
    <x v="0"/>
    <x v="0"/>
    <n v="8241"/>
  </r>
  <r>
    <x v="4"/>
    <x v="4"/>
    <n v="574.5"/>
    <n v="3"/>
    <n v="1.25"/>
    <x v="9"/>
    <n v="4"/>
    <x v="9"/>
    <x v="0"/>
    <n v="1723.5"/>
  </r>
  <r>
    <x v="2"/>
    <x v="4"/>
    <n v="2338"/>
    <n v="3"/>
    <n v="1.25"/>
    <x v="1"/>
    <n v="6"/>
    <x v="1"/>
    <x v="0"/>
    <n v="7014"/>
  </r>
  <r>
    <x v="4"/>
    <x v="4"/>
    <n v="381"/>
    <n v="3"/>
    <n v="1.25"/>
    <x v="3"/>
    <n v="8"/>
    <x v="3"/>
    <x v="0"/>
    <n v="1143"/>
  </r>
  <r>
    <x v="2"/>
    <x v="4"/>
    <n v="422"/>
    <n v="3"/>
    <n v="1.25"/>
    <x v="3"/>
    <n v="8"/>
    <x v="3"/>
    <x v="0"/>
    <n v="1266"/>
  </r>
  <r>
    <x v="0"/>
    <x v="4"/>
    <n v="2134"/>
    <n v="3"/>
    <n v="1.25"/>
    <x v="4"/>
    <n v="9"/>
    <x v="4"/>
    <x v="0"/>
    <n v="6402"/>
  </r>
  <r>
    <x v="3"/>
    <x v="4"/>
    <n v="436.5"/>
    <n v="3"/>
    <n v="1.25"/>
    <x v="2"/>
    <n v="7"/>
    <x v="2"/>
    <x v="0"/>
    <n v="1309.5"/>
  </r>
  <r>
    <x v="3"/>
    <x v="4"/>
    <n v="1956"/>
    <n v="3"/>
    <n v="1.25"/>
    <x v="7"/>
    <n v="1"/>
    <x v="7"/>
    <x v="0"/>
    <n v="5868"/>
  </r>
  <r>
    <x v="2"/>
    <x v="4"/>
    <n v="2659"/>
    <n v="3"/>
    <n v="1.25"/>
    <x v="0"/>
    <n v="2"/>
    <x v="0"/>
    <x v="0"/>
    <n v="7977"/>
  </r>
  <r>
    <x v="3"/>
    <x v="4"/>
    <n v="1351.5"/>
    <n v="3"/>
    <n v="1.25"/>
    <x v="9"/>
    <n v="4"/>
    <x v="9"/>
    <x v="0"/>
    <n v="4054.5"/>
  </r>
  <r>
    <x v="2"/>
    <x v="4"/>
    <n v="880"/>
    <n v="3"/>
    <n v="1.25"/>
    <x v="8"/>
    <n v="5"/>
    <x v="8"/>
    <x v="0"/>
    <n v="2640"/>
  </r>
  <r>
    <x v="3"/>
    <x v="4"/>
    <n v="1867"/>
    <n v="3"/>
    <n v="1.25"/>
    <x v="4"/>
    <n v="9"/>
    <x v="4"/>
    <x v="0"/>
    <n v="5601"/>
  </r>
  <r>
    <x v="4"/>
    <x v="4"/>
    <n v="1227"/>
    <n v="3"/>
    <n v="1.25"/>
    <x v="5"/>
    <n v="10"/>
    <x v="5"/>
    <x v="0"/>
    <n v="3681"/>
  </r>
  <r>
    <x v="1"/>
    <x v="4"/>
    <n v="877"/>
    <n v="3"/>
    <n v="1.25"/>
    <x v="10"/>
    <n v="11"/>
    <x v="10"/>
    <x v="0"/>
    <n v="2631"/>
  </r>
  <r>
    <x v="2"/>
    <x v="4"/>
    <n v="360"/>
    <n v="3"/>
    <n v="1.25"/>
    <x v="5"/>
    <n v="10"/>
    <x v="5"/>
    <x v="0"/>
    <n v="1080"/>
  </r>
  <r>
    <x v="1"/>
    <x v="4"/>
    <n v="521"/>
    <n v="3"/>
    <n v="1.25"/>
    <x v="6"/>
    <n v="12"/>
    <x v="6"/>
    <x v="0"/>
    <n v="1563"/>
  </r>
  <r>
    <x v="1"/>
    <x v="4"/>
    <n v="341"/>
    <n v="3"/>
    <n v="1.25"/>
    <x v="8"/>
    <n v="5"/>
    <x v="8"/>
    <x v="0"/>
    <n v="1023"/>
  </r>
  <r>
    <x v="1"/>
    <x v="4"/>
    <n v="641"/>
    <n v="3"/>
    <n v="1.25"/>
    <x v="2"/>
    <n v="7"/>
    <x v="2"/>
    <x v="0"/>
    <n v="1923"/>
  </r>
  <r>
    <x v="3"/>
    <x v="4"/>
    <n v="2807"/>
    <n v="3"/>
    <n v="1.25"/>
    <x v="3"/>
    <n v="8"/>
    <x v="3"/>
    <x v="0"/>
    <n v="8421"/>
  </r>
  <r>
    <x v="1"/>
    <x v="4"/>
    <n v="432"/>
    <n v="3"/>
    <n v="1.25"/>
    <x v="4"/>
    <n v="9"/>
    <x v="4"/>
    <x v="0"/>
    <n v="1296"/>
  </r>
  <r>
    <x v="0"/>
    <x v="4"/>
    <n v="2529"/>
    <n v="3"/>
    <n v="1.25"/>
    <x v="10"/>
    <n v="11"/>
    <x v="10"/>
    <x v="0"/>
    <n v="7587"/>
  </r>
  <r>
    <x v="3"/>
    <x v="4"/>
    <n v="1579"/>
    <n v="3"/>
    <n v="1.25"/>
    <x v="11"/>
    <n v="3"/>
    <x v="11"/>
    <x v="0"/>
    <n v="4737"/>
  </r>
  <r>
    <x v="4"/>
    <x v="4"/>
    <n v="1734"/>
    <n v="3"/>
    <n v="1.25"/>
    <x v="7"/>
    <n v="1"/>
    <x v="7"/>
    <x v="0"/>
    <n v="5202"/>
  </r>
  <r>
    <x v="1"/>
    <x v="4"/>
    <n v="554"/>
    <n v="3"/>
    <n v="1.25"/>
    <x v="7"/>
    <n v="1"/>
    <x v="7"/>
    <x v="0"/>
    <n v="1662"/>
  </r>
  <r>
    <x v="0"/>
    <x v="4"/>
    <n v="2109"/>
    <n v="3"/>
    <n v="1.25"/>
    <x v="8"/>
    <n v="5"/>
    <x v="8"/>
    <x v="0"/>
    <n v="6327"/>
  </r>
  <r>
    <x v="4"/>
    <x v="4"/>
    <n v="3874.5"/>
    <n v="3"/>
    <n v="1.25"/>
    <x v="2"/>
    <n v="7"/>
    <x v="2"/>
    <x v="0"/>
    <n v="11623.5"/>
  </r>
  <r>
    <x v="3"/>
    <x v="4"/>
    <n v="986"/>
    <n v="3"/>
    <n v="1.25"/>
    <x v="5"/>
    <n v="10"/>
    <x v="5"/>
    <x v="0"/>
    <n v="2958"/>
  </r>
  <r>
    <x v="3"/>
    <x v="4"/>
    <n v="2387"/>
    <n v="3"/>
    <n v="1.25"/>
    <x v="10"/>
    <n v="11"/>
    <x v="10"/>
    <x v="0"/>
    <n v="7161"/>
  </r>
  <r>
    <x v="1"/>
    <x v="4"/>
    <n v="1233"/>
    <n v="3"/>
    <n v="1.25"/>
    <x v="6"/>
    <n v="12"/>
    <x v="6"/>
    <x v="0"/>
    <n v="3699"/>
  </r>
  <r>
    <x v="4"/>
    <x v="4"/>
    <n v="1491"/>
    <n v="3"/>
    <n v="1.25"/>
    <x v="11"/>
    <n v="3"/>
    <x v="11"/>
    <x v="0"/>
    <n v="4473"/>
  </r>
  <r>
    <x v="2"/>
    <x v="4"/>
    <n v="1531"/>
    <n v="3"/>
    <n v="1.25"/>
    <x v="6"/>
    <n v="12"/>
    <x v="6"/>
    <x v="0"/>
    <n v="4593"/>
  </r>
  <r>
    <x v="3"/>
    <x v="4"/>
    <n v="2567"/>
    <n v="3"/>
    <n v="1.25"/>
    <x v="1"/>
    <n v="6"/>
    <x v="1"/>
    <x v="0"/>
    <n v="7701"/>
  </r>
  <r>
    <x v="0"/>
    <x v="4"/>
    <n v="1583"/>
    <n v="3"/>
    <n v="1.25"/>
    <x v="1"/>
    <n v="6"/>
    <x v="1"/>
    <x v="0"/>
    <n v="4749"/>
  </r>
  <r>
    <x v="0"/>
    <x v="4"/>
    <n v="1565"/>
    <n v="3"/>
    <n v="1.25"/>
    <x v="5"/>
    <n v="10"/>
    <x v="5"/>
    <x v="0"/>
    <n v="4695"/>
  </r>
  <r>
    <x v="2"/>
    <x v="4"/>
    <n v="280"/>
    <n v="3"/>
    <n v="1.25"/>
    <x v="6"/>
    <n v="12"/>
    <x v="6"/>
    <x v="0"/>
    <n v="840"/>
  </r>
  <r>
    <x v="1"/>
    <x v="4"/>
    <n v="2903"/>
    <n v="3"/>
    <n v="1.25"/>
    <x v="11"/>
    <n v="3"/>
    <x v="11"/>
    <x v="0"/>
    <n v="8709"/>
  </r>
  <r>
    <x v="3"/>
    <x v="4"/>
    <n v="2541"/>
    <n v="3"/>
    <n v="1.25"/>
    <x v="3"/>
    <n v="8"/>
    <x v="3"/>
    <x v="0"/>
    <n v="7623"/>
  </r>
  <r>
    <x v="0"/>
    <x v="4"/>
    <n v="1496"/>
    <n v="3"/>
    <n v="1.25"/>
    <x v="5"/>
    <n v="10"/>
    <x v="5"/>
    <x v="0"/>
    <n v="4488"/>
  </r>
  <r>
    <x v="3"/>
    <x v="4"/>
    <n v="1010"/>
    <n v="3"/>
    <n v="1.25"/>
    <x v="5"/>
    <n v="10"/>
    <x v="5"/>
    <x v="0"/>
    <n v="3030"/>
  </r>
  <r>
    <x v="0"/>
    <x v="4"/>
    <n v="865.5"/>
    <n v="3"/>
    <n v="1.25"/>
    <x v="2"/>
    <n v="7"/>
    <x v="2"/>
    <x v="0"/>
    <n v="2596.5"/>
  </r>
  <r>
    <x v="2"/>
    <x v="4"/>
    <n v="492"/>
    <n v="3"/>
    <n v="1.25"/>
    <x v="2"/>
    <n v="7"/>
    <x v="2"/>
    <x v="0"/>
    <n v="1476"/>
  </r>
  <r>
    <x v="2"/>
    <x v="4"/>
    <n v="1175"/>
    <n v="3"/>
    <n v="1.25"/>
    <x v="5"/>
    <n v="10"/>
    <x v="5"/>
    <x v="0"/>
    <n v="3525"/>
  </r>
  <r>
    <x v="2"/>
    <x v="4"/>
    <n v="552"/>
    <n v="3"/>
    <n v="1.25"/>
    <x v="10"/>
    <n v="11"/>
    <x v="10"/>
    <x v="0"/>
    <n v="1656"/>
  </r>
  <r>
    <x v="4"/>
    <x v="4"/>
    <n v="293"/>
    <n v="3"/>
    <n v="1.25"/>
    <x v="6"/>
    <n v="12"/>
    <x v="6"/>
    <x v="0"/>
    <n v="879"/>
  </r>
  <r>
    <x v="3"/>
    <x v="4"/>
    <n v="1806"/>
    <n v="3"/>
    <n v="1.25"/>
    <x v="8"/>
    <n v="5"/>
    <x v="8"/>
    <x v="0"/>
    <n v="5418"/>
  </r>
  <r>
    <x v="1"/>
    <x v="5"/>
    <n v="1493"/>
    <n v="6"/>
    <n v="2.75"/>
    <x v="7"/>
    <n v="1"/>
    <x v="7"/>
    <x v="0"/>
    <n v="8958"/>
  </r>
  <r>
    <x v="4"/>
    <x v="5"/>
    <n v="1804"/>
    <n v="6"/>
    <n v="2.75"/>
    <x v="0"/>
    <n v="2"/>
    <x v="0"/>
    <x v="0"/>
    <n v="10824"/>
  </r>
  <r>
    <x v="2"/>
    <x v="5"/>
    <n v="2161"/>
    <n v="6"/>
    <n v="2.75"/>
    <x v="11"/>
    <n v="3"/>
    <x v="11"/>
    <x v="0"/>
    <n v="12966"/>
  </r>
  <r>
    <x v="2"/>
    <x v="5"/>
    <n v="1006"/>
    <n v="6"/>
    <n v="2.75"/>
    <x v="1"/>
    <n v="6"/>
    <x v="1"/>
    <x v="0"/>
    <n v="6036"/>
  </r>
  <r>
    <x v="2"/>
    <x v="5"/>
    <n v="1545"/>
    <n v="6"/>
    <n v="2.75"/>
    <x v="1"/>
    <n v="6"/>
    <x v="1"/>
    <x v="0"/>
    <n v="9270"/>
  </r>
  <r>
    <x v="3"/>
    <x v="5"/>
    <n v="2821"/>
    <n v="6"/>
    <n v="2.75"/>
    <x v="3"/>
    <n v="8"/>
    <x v="3"/>
    <x v="0"/>
    <n v="16926"/>
  </r>
  <r>
    <x v="4"/>
    <x v="5"/>
    <n v="639"/>
    <n v="6"/>
    <n v="2.75"/>
    <x v="10"/>
    <n v="11"/>
    <x v="10"/>
    <x v="0"/>
    <n v="3834"/>
  </r>
  <r>
    <x v="4"/>
    <x v="5"/>
    <n v="3864"/>
    <n v="6"/>
    <n v="2.75"/>
    <x v="9"/>
    <n v="4"/>
    <x v="9"/>
    <x v="0"/>
    <n v="23184"/>
  </r>
  <r>
    <x v="1"/>
    <x v="5"/>
    <n v="362"/>
    <n v="6"/>
    <n v="2.75"/>
    <x v="8"/>
    <n v="5"/>
    <x v="8"/>
    <x v="0"/>
    <n v="2172"/>
  </r>
  <r>
    <x v="0"/>
    <x v="5"/>
    <n v="923"/>
    <n v="6"/>
    <n v="2.75"/>
    <x v="3"/>
    <n v="8"/>
    <x v="3"/>
    <x v="0"/>
    <n v="5538"/>
  </r>
  <r>
    <x v="3"/>
    <x v="5"/>
    <n v="1566"/>
    <n v="6"/>
    <n v="2.75"/>
    <x v="5"/>
    <n v="10"/>
    <x v="5"/>
    <x v="0"/>
    <n v="9396"/>
  </r>
  <r>
    <x v="2"/>
    <x v="5"/>
    <n v="2877"/>
    <n v="6"/>
    <n v="2.75"/>
    <x v="5"/>
    <n v="10"/>
    <x v="5"/>
    <x v="0"/>
    <n v="17262"/>
  </r>
  <r>
    <x v="4"/>
    <x v="5"/>
    <n v="1055"/>
    <n v="6"/>
    <n v="2.75"/>
    <x v="6"/>
    <n v="12"/>
    <x v="6"/>
    <x v="0"/>
    <n v="6330"/>
  </r>
  <r>
    <x v="1"/>
    <x v="5"/>
    <n v="1084"/>
    <n v="6"/>
    <n v="2.75"/>
    <x v="6"/>
    <n v="12"/>
    <x v="6"/>
    <x v="0"/>
    <n v="6504"/>
  </r>
  <r>
    <x v="0"/>
    <x v="5"/>
    <n v="2009"/>
    <n v="6"/>
    <n v="2.75"/>
    <x v="5"/>
    <n v="10"/>
    <x v="5"/>
    <x v="0"/>
    <n v="12054"/>
  </r>
  <r>
    <x v="0"/>
    <x v="5"/>
    <n v="3850.5"/>
    <n v="6"/>
    <n v="2.75"/>
    <x v="9"/>
    <n v="4"/>
    <x v="9"/>
    <x v="0"/>
    <n v="23103"/>
  </r>
  <r>
    <x v="3"/>
    <x v="5"/>
    <n v="1465"/>
    <n v="6"/>
    <n v="2.75"/>
    <x v="11"/>
    <n v="3"/>
    <x v="11"/>
    <x v="0"/>
    <n v="8790"/>
  </r>
  <r>
    <x v="4"/>
    <x v="5"/>
    <n v="2177"/>
    <n v="6"/>
    <n v="2.75"/>
    <x v="5"/>
    <n v="10"/>
    <x v="5"/>
    <x v="0"/>
    <n v="13062"/>
  </r>
  <r>
    <x v="0"/>
    <x v="5"/>
    <n v="2431"/>
    <n v="6"/>
    <n v="2.75"/>
    <x v="6"/>
    <n v="12"/>
    <x v="6"/>
    <x v="0"/>
    <n v="14586"/>
  </r>
  <r>
    <x v="3"/>
    <x v="5"/>
    <n v="555"/>
    <n v="6"/>
    <n v="2.75"/>
    <x v="7"/>
    <n v="1"/>
    <x v="7"/>
    <x v="0"/>
    <n v="3330"/>
  </r>
  <r>
    <x v="1"/>
    <x v="5"/>
    <n v="2861"/>
    <n v="6"/>
    <n v="2.75"/>
    <x v="7"/>
    <n v="1"/>
    <x v="7"/>
    <x v="0"/>
    <n v="17166"/>
  </r>
  <r>
    <x v="2"/>
    <x v="5"/>
    <n v="807"/>
    <n v="6"/>
    <n v="2.75"/>
    <x v="0"/>
    <n v="2"/>
    <x v="0"/>
    <x v="0"/>
    <n v="4842"/>
  </r>
  <r>
    <x v="3"/>
    <x v="5"/>
    <n v="602"/>
    <n v="6"/>
    <n v="2.75"/>
    <x v="1"/>
    <n v="6"/>
    <x v="1"/>
    <x v="0"/>
    <n v="3612"/>
  </r>
  <r>
    <x v="3"/>
    <x v="5"/>
    <n v="2832"/>
    <n v="6"/>
    <n v="2.75"/>
    <x v="3"/>
    <n v="8"/>
    <x v="3"/>
    <x v="0"/>
    <n v="16992"/>
  </r>
  <r>
    <x v="4"/>
    <x v="5"/>
    <n v="1579"/>
    <n v="6"/>
    <n v="2.75"/>
    <x v="3"/>
    <n v="8"/>
    <x v="3"/>
    <x v="0"/>
    <n v="9474"/>
  </r>
  <r>
    <x v="3"/>
    <x v="5"/>
    <n v="861"/>
    <n v="6"/>
    <n v="2.75"/>
    <x v="5"/>
    <n v="10"/>
    <x v="5"/>
    <x v="0"/>
    <n v="5166"/>
  </r>
  <r>
    <x v="2"/>
    <x v="5"/>
    <n v="1250"/>
    <n v="6"/>
    <n v="2.75"/>
    <x v="6"/>
    <n v="12"/>
    <x v="6"/>
    <x v="0"/>
    <n v="7500"/>
  </r>
  <r>
    <x v="0"/>
    <x v="5"/>
    <n v="952"/>
    <n v="6"/>
    <n v="2.75"/>
    <x v="0"/>
    <n v="2"/>
    <x v="0"/>
    <x v="0"/>
    <n v="5712"/>
  </r>
  <r>
    <x v="3"/>
    <x v="5"/>
    <n v="2755"/>
    <n v="6"/>
    <n v="2.75"/>
    <x v="0"/>
    <n v="2"/>
    <x v="0"/>
    <x v="0"/>
    <n v="16530"/>
  </r>
  <r>
    <x v="2"/>
    <x v="5"/>
    <n v="1530"/>
    <n v="6"/>
    <n v="2.75"/>
    <x v="8"/>
    <n v="5"/>
    <x v="8"/>
    <x v="0"/>
    <n v="9180"/>
  </r>
  <r>
    <x v="4"/>
    <x v="5"/>
    <n v="1496"/>
    <n v="6"/>
    <n v="2.75"/>
    <x v="1"/>
    <n v="6"/>
    <x v="1"/>
    <x v="0"/>
    <n v="8976"/>
  </r>
  <r>
    <x v="1"/>
    <x v="5"/>
    <n v="1498"/>
    <n v="6"/>
    <n v="2.75"/>
    <x v="1"/>
    <n v="6"/>
    <x v="1"/>
    <x v="0"/>
    <n v="8988"/>
  </r>
  <r>
    <x v="2"/>
    <x v="5"/>
    <n v="1001"/>
    <n v="6"/>
    <n v="2.75"/>
    <x v="3"/>
    <n v="8"/>
    <x v="3"/>
    <x v="0"/>
    <n v="6006"/>
  </r>
  <r>
    <x v="1"/>
    <x v="5"/>
    <n v="1333"/>
    <n v="6"/>
    <n v="2.75"/>
    <x v="10"/>
    <n v="11"/>
    <x v="10"/>
    <x v="0"/>
    <n v="7998"/>
  </r>
  <r>
    <x v="0"/>
    <x v="5"/>
    <n v="1262"/>
    <n v="6"/>
    <n v="2.75"/>
    <x v="8"/>
    <n v="5"/>
    <x v="8"/>
    <x v="0"/>
    <n v="7572"/>
  </r>
  <r>
    <x v="0"/>
    <x v="5"/>
    <n v="1135"/>
    <n v="6"/>
    <n v="2.75"/>
    <x v="1"/>
    <n v="6"/>
    <x v="1"/>
    <x v="0"/>
    <n v="6810"/>
  </r>
  <r>
    <x v="3"/>
    <x v="5"/>
    <n v="547"/>
    <n v="6"/>
    <n v="2.75"/>
    <x v="10"/>
    <n v="11"/>
    <x v="10"/>
    <x v="0"/>
    <n v="3282"/>
  </r>
  <r>
    <x v="0"/>
    <x v="5"/>
    <n v="1582"/>
    <n v="6"/>
    <n v="2.75"/>
    <x v="6"/>
    <n v="12"/>
    <x v="6"/>
    <x v="0"/>
    <n v="9492"/>
  </r>
  <r>
    <x v="4"/>
    <x v="5"/>
    <n v="1659"/>
    <n v="6"/>
    <n v="2.75"/>
    <x v="2"/>
    <n v="7"/>
    <x v="2"/>
    <x v="0"/>
    <n v="9954"/>
  </r>
  <r>
    <x v="1"/>
    <x v="5"/>
    <n v="609"/>
    <n v="6"/>
    <n v="2.75"/>
    <x v="3"/>
    <n v="8"/>
    <x v="3"/>
    <x v="0"/>
    <n v="3654"/>
  </r>
  <r>
    <x v="2"/>
    <x v="5"/>
    <n v="2087"/>
    <n v="6"/>
    <n v="2.75"/>
    <x v="4"/>
    <n v="9"/>
    <x v="4"/>
    <x v="0"/>
    <n v="12522"/>
  </r>
  <r>
    <x v="4"/>
    <x v="5"/>
    <n v="1976"/>
    <n v="6"/>
    <n v="2.75"/>
    <x v="5"/>
    <n v="10"/>
    <x v="5"/>
    <x v="0"/>
    <n v="11856"/>
  </r>
  <r>
    <x v="3"/>
    <x v="5"/>
    <n v="1372"/>
    <n v="6"/>
    <n v="2.75"/>
    <x v="6"/>
    <n v="12"/>
    <x v="6"/>
    <x v="0"/>
    <n v="8232"/>
  </r>
  <r>
    <x v="0"/>
    <x v="5"/>
    <n v="598"/>
    <n v="6"/>
    <n v="2.75"/>
    <x v="11"/>
    <n v="3"/>
    <x v="11"/>
    <x v="0"/>
    <n v="3588"/>
  </r>
  <r>
    <x v="3"/>
    <x v="5"/>
    <n v="2907"/>
    <n v="6"/>
    <n v="2.75"/>
    <x v="1"/>
    <n v="6"/>
    <x v="1"/>
    <x v="0"/>
    <n v="17442"/>
  </r>
  <r>
    <x v="2"/>
    <x v="5"/>
    <n v="2338"/>
    <n v="6"/>
    <n v="2.75"/>
    <x v="1"/>
    <n v="6"/>
    <x v="1"/>
    <x v="0"/>
    <n v="14028"/>
  </r>
  <r>
    <x v="1"/>
    <x v="5"/>
    <n v="635"/>
    <n v="6"/>
    <n v="2.75"/>
    <x v="6"/>
    <n v="12"/>
    <x v="6"/>
    <x v="0"/>
    <n v="3810"/>
  </r>
  <r>
    <x v="1"/>
    <x v="5"/>
    <n v="245"/>
    <n v="6"/>
    <n v="2.75"/>
    <x v="8"/>
    <n v="5"/>
    <x v="8"/>
    <x v="0"/>
    <n v="1470"/>
  </r>
  <r>
    <x v="0"/>
    <x v="5"/>
    <n v="3793.5"/>
    <n v="6"/>
    <n v="2.75"/>
    <x v="2"/>
    <n v="7"/>
    <x v="2"/>
    <x v="0"/>
    <n v="22761"/>
  </r>
  <r>
    <x v="2"/>
    <x v="5"/>
    <n v="1307"/>
    <n v="6"/>
    <n v="2.75"/>
    <x v="2"/>
    <n v="7"/>
    <x v="2"/>
    <x v="0"/>
    <n v="7842"/>
  </r>
  <r>
    <x v="0"/>
    <x v="5"/>
    <n v="567"/>
    <n v="6"/>
    <n v="2.75"/>
    <x v="4"/>
    <n v="9"/>
    <x v="4"/>
    <x v="0"/>
    <n v="3402"/>
  </r>
  <r>
    <x v="1"/>
    <x v="5"/>
    <n v="2110"/>
    <n v="6"/>
    <n v="2.75"/>
    <x v="4"/>
    <n v="9"/>
    <x v="4"/>
    <x v="0"/>
    <n v="12660"/>
  </r>
  <r>
    <x v="0"/>
    <x v="5"/>
    <n v="1269"/>
    <n v="6"/>
    <n v="2.75"/>
    <x v="5"/>
    <n v="10"/>
    <x v="5"/>
    <x v="0"/>
    <n v="7614"/>
  </r>
  <r>
    <x v="4"/>
    <x v="5"/>
    <n v="1967"/>
    <n v="6"/>
    <n v="2.75"/>
    <x v="11"/>
    <n v="3"/>
    <x v="11"/>
    <x v="0"/>
    <n v="11802"/>
  </r>
  <r>
    <x v="1"/>
    <x v="5"/>
    <n v="2628"/>
    <n v="6"/>
    <n v="2.75"/>
    <x v="9"/>
    <n v="4"/>
    <x v="9"/>
    <x v="0"/>
    <n v="15768"/>
  </r>
  <r>
    <x v="2"/>
    <x v="5"/>
    <n v="681"/>
    <n v="6"/>
    <n v="2.75"/>
    <x v="7"/>
    <n v="1"/>
    <x v="7"/>
    <x v="0"/>
    <n v="4086"/>
  </r>
  <r>
    <x v="2"/>
    <x v="5"/>
    <n v="510"/>
    <n v="6"/>
    <n v="2.75"/>
    <x v="9"/>
    <n v="4"/>
    <x v="9"/>
    <x v="0"/>
    <n v="3060"/>
  </r>
  <r>
    <x v="3"/>
    <x v="5"/>
    <n v="790"/>
    <n v="6"/>
    <n v="2.75"/>
    <x v="8"/>
    <n v="5"/>
    <x v="8"/>
    <x v="0"/>
    <n v="4740"/>
  </r>
  <r>
    <x v="4"/>
    <x v="5"/>
    <n v="639"/>
    <n v="6"/>
    <n v="2.75"/>
    <x v="2"/>
    <n v="7"/>
    <x v="2"/>
    <x v="0"/>
    <n v="3834"/>
  </r>
  <r>
    <x v="3"/>
    <x v="5"/>
    <n v="1596"/>
    <n v="6"/>
    <n v="2.75"/>
    <x v="4"/>
    <n v="9"/>
    <x v="4"/>
    <x v="0"/>
    <n v="9576"/>
  </r>
  <r>
    <x v="2"/>
    <x v="5"/>
    <n v="241"/>
    <n v="6"/>
    <n v="2.75"/>
    <x v="5"/>
    <n v="10"/>
    <x v="5"/>
    <x v="0"/>
    <n v="1446"/>
  </r>
  <r>
    <x v="2"/>
    <x v="5"/>
    <n v="2665"/>
    <n v="6"/>
    <n v="2.75"/>
    <x v="10"/>
    <n v="11"/>
    <x v="10"/>
    <x v="0"/>
    <n v="15990"/>
  </r>
  <r>
    <x v="4"/>
    <x v="5"/>
    <n v="853"/>
    <n v="6"/>
    <n v="2.75"/>
    <x v="6"/>
    <n v="12"/>
    <x v="6"/>
    <x v="0"/>
    <n v="5118"/>
  </r>
  <r>
    <x v="0"/>
    <x v="5"/>
    <n v="384"/>
    <n v="6"/>
    <n v="2.75"/>
    <x v="7"/>
    <n v="1"/>
    <x v="7"/>
    <x v="0"/>
    <n v="2304"/>
  </r>
  <r>
    <x v="2"/>
    <x v="5"/>
    <n v="472"/>
    <n v="6"/>
    <n v="2.75"/>
    <x v="5"/>
    <n v="10"/>
    <x v="5"/>
    <x v="0"/>
    <n v="2832"/>
  </r>
  <r>
    <x v="0"/>
    <x v="5"/>
    <n v="1808"/>
    <n v="6"/>
    <n v="2.75"/>
    <x v="10"/>
    <n v="11"/>
    <x v="10"/>
    <x v="0"/>
    <n v="10848"/>
  </r>
  <r>
    <x v="1"/>
    <x v="5"/>
    <n v="1395"/>
    <n v="6"/>
    <n v="2.75"/>
    <x v="2"/>
    <n v="7"/>
    <x v="2"/>
    <x v="0"/>
    <n v="8370"/>
  </r>
  <r>
    <x v="3"/>
    <x v="5"/>
    <n v="986"/>
    <n v="6"/>
    <n v="2.75"/>
    <x v="5"/>
    <n v="10"/>
    <x v="5"/>
    <x v="0"/>
    <n v="5916"/>
  </r>
  <r>
    <x v="1"/>
    <x v="5"/>
    <n v="905"/>
    <n v="6"/>
    <n v="2.75"/>
    <x v="5"/>
    <n v="10"/>
    <x v="5"/>
    <x v="0"/>
    <n v="5430"/>
  </r>
  <r>
    <x v="4"/>
    <x v="5"/>
    <n v="3997.5"/>
    <n v="6"/>
    <n v="2.75"/>
    <x v="7"/>
    <n v="1"/>
    <x v="7"/>
    <x v="0"/>
    <n v="23985"/>
  </r>
  <r>
    <x v="0"/>
    <x v="5"/>
    <n v="2632"/>
    <n v="6"/>
    <n v="2.75"/>
    <x v="1"/>
    <n v="6"/>
    <x v="1"/>
    <x v="0"/>
    <n v="15792"/>
  </r>
  <r>
    <x v="4"/>
    <x v="5"/>
    <n v="1190"/>
    <n v="6"/>
    <n v="2.75"/>
    <x v="1"/>
    <n v="6"/>
    <x v="1"/>
    <x v="0"/>
    <n v="7140"/>
  </r>
  <r>
    <x v="1"/>
    <x v="5"/>
    <n v="604"/>
    <n v="6"/>
    <n v="2.75"/>
    <x v="1"/>
    <n v="6"/>
    <x v="1"/>
    <x v="0"/>
    <n v="3624"/>
  </r>
  <r>
    <x v="1"/>
    <x v="5"/>
    <n v="410"/>
    <n v="6"/>
    <n v="2.75"/>
    <x v="5"/>
    <n v="10"/>
    <x v="5"/>
    <x v="0"/>
    <n v="2460"/>
  </r>
  <r>
    <x v="2"/>
    <x v="5"/>
    <n v="1013"/>
    <n v="6"/>
    <n v="2.75"/>
    <x v="6"/>
    <n v="12"/>
    <x v="6"/>
    <x v="0"/>
    <n v="6078"/>
  </r>
  <r>
    <x v="1"/>
    <x v="5"/>
    <n v="1575"/>
    <n v="6"/>
    <n v="2.75"/>
    <x v="0"/>
    <n v="2"/>
    <x v="0"/>
    <x v="0"/>
    <n v="9450"/>
  </r>
  <r>
    <x v="3"/>
    <x v="5"/>
    <n v="606"/>
    <n v="6"/>
    <n v="2.75"/>
    <x v="9"/>
    <n v="4"/>
    <x v="9"/>
    <x v="0"/>
    <n v="3636"/>
  </r>
  <r>
    <x v="3"/>
    <x v="5"/>
    <n v="2460"/>
    <n v="6"/>
    <n v="2.75"/>
    <x v="2"/>
    <n v="7"/>
    <x v="2"/>
    <x v="0"/>
    <n v="14760"/>
  </r>
  <r>
    <x v="1"/>
    <x v="5"/>
    <n v="500"/>
    <n v="6"/>
    <n v="2.75"/>
    <x v="11"/>
    <n v="3"/>
    <x v="11"/>
    <x v="0"/>
    <n v="3000"/>
  </r>
  <r>
    <x v="4"/>
    <x v="5"/>
    <n v="2826"/>
    <n v="6"/>
    <n v="2.75"/>
    <x v="8"/>
    <n v="5"/>
    <x v="8"/>
    <x v="0"/>
    <n v="16956"/>
  </r>
  <r>
    <x v="4"/>
    <x v="5"/>
    <n v="663"/>
    <n v="6"/>
    <n v="2.75"/>
    <x v="4"/>
    <n v="9"/>
    <x v="4"/>
    <x v="0"/>
    <n v="3978"/>
  </r>
  <r>
    <x v="3"/>
    <x v="5"/>
    <n v="914"/>
    <n v="6"/>
    <n v="2.75"/>
    <x v="6"/>
    <n v="12"/>
    <x v="6"/>
    <x v="0"/>
    <n v="54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31B2FA-5AA0-4CB2-8335-D9BE67F9E70A}" name="PivotTable4"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J3:K10" firstHeaderRow="1" firstDataRow="1" firstDataCol="1"/>
  <pivotFields count="10">
    <pivotField showAll="0">
      <items count="6">
        <item x="0"/>
        <item x="4"/>
        <item x="2"/>
        <item x="1"/>
        <item x="3"/>
        <item t="default"/>
      </items>
    </pivotField>
    <pivotField axis="axisRow" showAll="0">
      <items count="7">
        <item x="0"/>
        <item x="3"/>
        <item x="5"/>
        <item x="2"/>
        <item x="1"/>
        <item x="4"/>
        <item t="default"/>
      </items>
    </pivotField>
    <pivotField dataField="1" showAll="0"/>
    <pivotField showAll="0"/>
    <pivotField showAll="0"/>
    <pivotField numFmtId="14" showAll="0">
      <items count="13">
        <item x="7"/>
        <item x="0"/>
        <item x="11"/>
        <item x="9"/>
        <item x="8"/>
        <item x="1"/>
        <item x="2"/>
        <item x="3"/>
        <item x="4"/>
        <item x="5"/>
        <item x="10"/>
        <item x="6"/>
        <item t="default"/>
      </items>
    </pivotField>
    <pivotField showAll="0"/>
    <pivotField showAll="0">
      <items count="13">
        <item x="7"/>
        <item x="0"/>
        <item x="11"/>
        <item x="9"/>
        <item x="8"/>
        <item x="1"/>
        <item x="2"/>
        <item x="3"/>
        <item x="4"/>
        <item x="5"/>
        <item x="10"/>
        <item x="6"/>
        <item t="default"/>
      </items>
    </pivotField>
    <pivotField showAll="0">
      <items count="2">
        <item x="0"/>
        <item t="default"/>
      </items>
    </pivotField>
    <pivotField showAll="0"/>
  </pivotFields>
  <rowFields count="1">
    <field x="1"/>
  </rowFields>
  <rowItems count="7">
    <i>
      <x/>
    </i>
    <i>
      <x v="1"/>
    </i>
    <i>
      <x v="2"/>
    </i>
    <i>
      <x v="3"/>
    </i>
    <i>
      <x v="4"/>
    </i>
    <i>
      <x v="5"/>
    </i>
    <i t="grand">
      <x/>
    </i>
  </rowItems>
  <colItems count="1">
    <i/>
  </colItems>
  <dataFields count="1">
    <dataField name="Sum of Units_Sold" fld="2" baseField="0" baseItem="0"/>
  </dataFields>
  <formats count="2">
    <format dxfId="310">
      <pivotArea outline="0" collapsedLevelsAreSubtotals="1" fieldPosition="0"/>
    </format>
    <format dxfId="31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5A8497-257E-47FE-99DF-F305C7A37623}"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G3:H10" firstHeaderRow="1" firstDataRow="1" firstDataCol="1"/>
  <pivotFields count="10">
    <pivotField showAll="0">
      <items count="6">
        <item x="0"/>
        <item x="4"/>
        <item x="2"/>
        <item x="1"/>
        <item x="3"/>
        <item t="default"/>
      </items>
    </pivotField>
    <pivotField axis="axisRow" showAll="0">
      <items count="7">
        <item x="0"/>
        <item x="3"/>
        <item x="5"/>
        <item x="2"/>
        <item x="1"/>
        <item x="4"/>
        <item t="default"/>
      </items>
    </pivotField>
    <pivotField showAll="0"/>
    <pivotField showAll="0"/>
    <pivotField showAll="0"/>
    <pivotField numFmtId="14" showAll="0">
      <items count="13">
        <item x="7"/>
        <item x="0"/>
        <item x="11"/>
        <item x="9"/>
        <item x="8"/>
        <item x="1"/>
        <item x="2"/>
        <item x="3"/>
        <item x="4"/>
        <item x="5"/>
        <item x="10"/>
        <item x="6"/>
        <item t="default"/>
      </items>
    </pivotField>
    <pivotField showAll="0"/>
    <pivotField showAll="0">
      <items count="13">
        <item x="7"/>
        <item x="0"/>
        <item x="11"/>
        <item x="9"/>
        <item x="8"/>
        <item x="1"/>
        <item x="2"/>
        <item x="3"/>
        <item x="4"/>
        <item x="5"/>
        <item x="10"/>
        <item x="6"/>
        <item t="default"/>
      </items>
    </pivotField>
    <pivotField showAll="0"/>
    <pivotField dataField="1" showAll="0"/>
  </pivotFields>
  <rowFields count="1">
    <field x="1"/>
  </rowFields>
  <rowItems count="7">
    <i>
      <x/>
    </i>
    <i>
      <x v="1"/>
    </i>
    <i>
      <x v="2"/>
    </i>
    <i>
      <x v="3"/>
    </i>
    <i>
      <x v="4"/>
    </i>
    <i>
      <x v="5"/>
    </i>
    <i t="grand">
      <x/>
    </i>
  </rowItems>
  <colItems count="1">
    <i/>
  </colItems>
  <dataFields count="1">
    <dataField name="Sum of Sales" fld="9" baseField="0" baseItem="0"/>
  </dataFields>
  <formats count="2">
    <format dxfId="312">
      <pivotArea outline="0" collapsedLevelsAreSubtotals="1" fieldPosition="0"/>
    </format>
    <format dxfId="31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CAB746-326C-4969-BCC3-BFA95AF99952}" name="PivotTable2"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D3:E16" firstHeaderRow="1" firstDataRow="1" firstDataCol="1"/>
  <pivotFields count="10">
    <pivotField showAll="0">
      <items count="6">
        <item x="0"/>
        <item x="4"/>
        <item x="2"/>
        <item x="1"/>
        <item x="3"/>
        <item t="default"/>
      </items>
    </pivotField>
    <pivotField showAll="0">
      <items count="7">
        <item x="0"/>
        <item x="3"/>
        <item x="5"/>
        <item x="2"/>
        <item x="1"/>
        <item x="4"/>
        <item t="default"/>
      </items>
    </pivotField>
    <pivotField showAll="0"/>
    <pivotField showAll="0"/>
    <pivotField showAll="0"/>
    <pivotField numFmtId="14" showAll="0">
      <items count="13">
        <item x="7"/>
        <item x="0"/>
        <item x="11"/>
        <item x="9"/>
        <item x="8"/>
        <item x="1"/>
        <item x="2"/>
        <item x="3"/>
        <item x="4"/>
        <item x="5"/>
        <item x="10"/>
        <item x="6"/>
        <item t="default"/>
      </items>
    </pivotField>
    <pivotField showAll="0"/>
    <pivotField axis="axisRow" showAll="0">
      <items count="13">
        <item x="7"/>
        <item x="0"/>
        <item x="11"/>
        <item x="9"/>
        <item x="8"/>
        <item x="1"/>
        <item x="2"/>
        <item x="3"/>
        <item x="4"/>
        <item x="5"/>
        <item x="10"/>
        <item x="6"/>
        <item t="default"/>
      </items>
    </pivotField>
    <pivotField showAll="0"/>
    <pivotField dataField="1" showAll="0"/>
  </pivotFields>
  <rowFields count="1">
    <field x="7"/>
  </rowFields>
  <rowItems count="13">
    <i>
      <x/>
    </i>
    <i>
      <x v="1"/>
    </i>
    <i>
      <x v="2"/>
    </i>
    <i>
      <x v="3"/>
    </i>
    <i>
      <x v="4"/>
    </i>
    <i>
      <x v="5"/>
    </i>
    <i>
      <x v="6"/>
    </i>
    <i>
      <x v="7"/>
    </i>
    <i>
      <x v="8"/>
    </i>
    <i>
      <x v="9"/>
    </i>
    <i>
      <x v="10"/>
    </i>
    <i>
      <x v="11"/>
    </i>
    <i t="grand">
      <x/>
    </i>
  </rowItems>
  <colItems count="1">
    <i/>
  </colItems>
  <dataFields count="1">
    <dataField name="Sum of Sales" fld="9" baseField="0" baseItem="0"/>
  </dataFields>
  <formats count="2">
    <format dxfId="314">
      <pivotArea outline="0" collapsedLevelsAreSubtotals="1" fieldPosition="0"/>
    </format>
    <format dxfId="315">
      <pivotArea dataOnly="0" labelOnly="1" outline="0" axis="axisValues" fieldPosition="0"/>
    </format>
  </formats>
  <chartFormats count="13">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7" count="1" selected="0">
            <x v="11"/>
          </reference>
        </references>
      </pivotArea>
    </chartFormat>
    <chartFormat chart="8" format="4">
      <pivotArea type="data" outline="0" fieldPosition="0">
        <references count="2">
          <reference field="4294967294" count="1" selected="0">
            <x v="0"/>
          </reference>
          <reference field="7" count="1" selected="0">
            <x v="10"/>
          </reference>
        </references>
      </pivotArea>
    </chartFormat>
    <chartFormat chart="8" format="5">
      <pivotArea type="data" outline="0" fieldPosition="0">
        <references count="2">
          <reference field="4294967294" count="1" selected="0">
            <x v="0"/>
          </reference>
          <reference field="7" count="1" selected="0">
            <x v="9"/>
          </reference>
        </references>
      </pivotArea>
    </chartFormat>
    <chartFormat chart="8" format="6">
      <pivotArea type="data" outline="0" fieldPosition="0">
        <references count="2">
          <reference field="4294967294" count="1" selected="0">
            <x v="0"/>
          </reference>
          <reference field="7" count="1" selected="0">
            <x v="8"/>
          </reference>
        </references>
      </pivotArea>
    </chartFormat>
    <chartFormat chart="8" format="7">
      <pivotArea type="data" outline="0" fieldPosition="0">
        <references count="2">
          <reference field="4294967294" count="1" selected="0">
            <x v="0"/>
          </reference>
          <reference field="7" count="1" selected="0">
            <x v="7"/>
          </reference>
        </references>
      </pivotArea>
    </chartFormat>
    <chartFormat chart="8" format="8">
      <pivotArea type="data" outline="0" fieldPosition="0">
        <references count="2">
          <reference field="4294967294" count="1" selected="0">
            <x v="0"/>
          </reference>
          <reference field="7" count="1" selected="0">
            <x v="6"/>
          </reference>
        </references>
      </pivotArea>
    </chartFormat>
    <chartFormat chart="8" format="9">
      <pivotArea type="data" outline="0" fieldPosition="0">
        <references count="2">
          <reference field="4294967294" count="1" selected="0">
            <x v="0"/>
          </reference>
          <reference field="7" count="1" selected="0">
            <x v="4"/>
          </reference>
        </references>
      </pivotArea>
    </chartFormat>
    <chartFormat chart="8" format="10">
      <pivotArea type="data" outline="0" fieldPosition="0">
        <references count="2">
          <reference field="4294967294" count="1" selected="0">
            <x v="0"/>
          </reference>
          <reference field="7" count="1" selected="0">
            <x v="5"/>
          </reference>
        </references>
      </pivotArea>
    </chartFormat>
    <chartFormat chart="8" format="11">
      <pivotArea type="data" outline="0" fieldPosition="0">
        <references count="2">
          <reference field="4294967294" count="1" selected="0">
            <x v="0"/>
          </reference>
          <reference field="7" count="1" selected="0">
            <x v="3"/>
          </reference>
        </references>
      </pivotArea>
    </chartFormat>
    <chartFormat chart="8" format="12">
      <pivotArea type="data" outline="0" fieldPosition="0">
        <references count="2">
          <reference field="4294967294" count="1" selected="0">
            <x v="0"/>
          </reference>
          <reference field="7" count="1" selected="0">
            <x v="2"/>
          </reference>
        </references>
      </pivotArea>
    </chartFormat>
    <chartFormat chart="8" format="13">
      <pivotArea type="data" outline="0" fieldPosition="0">
        <references count="2">
          <reference field="4294967294" count="1" selected="0">
            <x v="0"/>
          </reference>
          <reference field="7" count="1" selected="0">
            <x v="1"/>
          </reference>
        </references>
      </pivotArea>
    </chartFormat>
    <chartFormat chart="8" format="14">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7AFD9C-0901-4857-BB5B-15E1EFFA244A}"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9" firstHeaderRow="1" firstDataRow="1" firstDataCol="1"/>
  <pivotFields count="10">
    <pivotField axis="axisRow" showAll="0">
      <items count="6">
        <item x="0"/>
        <item x="4"/>
        <item x="2"/>
        <item x="1"/>
        <item x="3"/>
        <item t="default"/>
      </items>
    </pivotField>
    <pivotField showAll="0">
      <items count="7">
        <item x="0"/>
        <item x="3"/>
        <item x="5"/>
        <item x="2"/>
        <item x="1"/>
        <item x="4"/>
        <item t="default"/>
      </items>
    </pivotField>
    <pivotField showAll="0"/>
    <pivotField showAll="0"/>
    <pivotField showAll="0"/>
    <pivotField numFmtId="14" showAll="0">
      <items count="13">
        <item x="7"/>
        <item x="0"/>
        <item x="11"/>
        <item x="9"/>
        <item x="8"/>
        <item x="1"/>
        <item x="2"/>
        <item x="3"/>
        <item x="4"/>
        <item x="5"/>
        <item x="10"/>
        <item x="6"/>
        <item t="default"/>
      </items>
    </pivotField>
    <pivotField showAll="0"/>
    <pivotField showAll="0"/>
    <pivotField showAll="0"/>
    <pivotField dataField="1" showAll="0"/>
  </pivotFields>
  <rowFields count="1">
    <field x="0"/>
  </rowFields>
  <rowItems count="6">
    <i>
      <x/>
    </i>
    <i>
      <x v="1"/>
    </i>
    <i>
      <x v="2"/>
    </i>
    <i>
      <x v="3"/>
    </i>
    <i>
      <x v="4"/>
    </i>
    <i t="grand">
      <x/>
    </i>
  </rowItems>
  <colItems count="1">
    <i/>
  </colItems>
  <dataFields count="1">
    <dataField name="Sum of Sales" fld="9" baseField="0" baseItem="0" numFmtId="164"/>
  </dataFields>
  <formats count="2">
    <format dxfId="308">
      <pivotArea outline="0" collapsedLevelsAreSubtotals="1" fieldPosition="0"/>
    </format>
    <format dxfId="309">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640C459-E499-4879-AA29-0DA5057A6788}" sourceName="Product">
  <pivotTables>
    <pivotTable tabId="2" name="PivotTable4"/>
    <pivotTable tabId="2" name="PivotTable1"/>
    <pivotTable tabId="2" name="PivotTable2"/>
    <pivotTable tabId="2" name="PivotTable3"/>
  </pivotTables>
  <data>
    <tabular pivotCacheId="1319855013">
      <items count="6">
        <i x="0" s="1"/>
        <i x="3" s="1"/>
        <i x="5"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BB306C5-0B69-4CA7-B1C0-DE27466CC5E0}" sourceName="Country">
  <pivotTables>
    <pivotTable tabId="2" name="PivotTable4"/>
    <pivotTable tabId="2" name="PivotTable1"/>
    <pivotTable tabId="2" name="PivotTable2"/>
    <pivotTable tabId="2" name="PivotTable3"/>
  </pivotTables>
  <data>
    <tabular pivotCacheId="1319855013">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6C416A5-40E6-4606-8CDD-DB360E6CAA3C}" cache="Slicer_Product" caption="Product" columnCount="6" style="SlicerStyleLight6" rowHeight="241300"/>
  <slicer name="Country" xr10:uid="{2C1F6CFE-5D77-4BAE-85C0-5F2EE8B9DF51}" cache="Slicer_Country" caption="Country" columnCount="3"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7198279-D230-465D-8462-CAD01631981B}" sourceName="Date">
  <pivotTables>
    <pivotTable tabId="2" name="PivotTable4"/>
    <pivotTable tabId="2" name="PivotTable1"/>
    <pivotTable tabId="2" name="PivotTable2"/>
    <pivotTable tabId="2" name="PivotTable3"/>
  </pivotTables>
  <state minimalRefreshVersion="6" lastRefreshVersion="6" pivotCacheId="1319855013"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40B7929-E798-477E-9C4B-67B13BF13600}" cache="NativeTimeline_Date" caption="Date" level="2" selectionLevel="2" scrollPosition="2019-05-14T00:00:00" style="TimeSlicerStyleLight6"/>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9705B-DD98-467B-AE42-ACB2F7B36BD2}">
  <dimension ref="A3:K16"/>
  <sheetViews>
    <sheetView workbookViewId="0">
      <selection activeCell="B13" sqref="B13"/>
    </sheetView>
  </sheetViews>
  <sheetFormatPr defaultRowHeight="15" x14ac:dyDescent="0.25"/>
  <cols>
    <col min="1" max="1" width="13.140625" bestFit="1" customWidth="1"/>
    <col min="2" max="2" width="14.28515625" bestFit="1" customWidth="1"/>
    <col min="4" max="4" width="13.140625" bestFit="1" customWidth="1"/>
    <col min="5" max="5" width="12.140625" bestFit="1" customWidth="1"/>
    <col min="7" max="7" width="13.140625" bestFit="1" customWidth="1"/>
    <col min="8" max="8" width="12.140625" bestFit="1" customWidth="1"/>
    <col min="10" max="10" width="13.140625" bestFit="1" customWidth="1"/>
    <col min="11" max="11" width="17.42578125" bestFit="1" customWidth="1"/>
  </cols>
  <sheetData>
    <row r="3" spans="1:11" x14ac:dyDescent="0.25">
      <c r="A3" s="2" t="s">
        <v>33</v>
      </c>
      <c r="B3" s="4" t="s">
        <v>35</v>
      </c>
      <c r="D3" s="2" t="s">
        <v>33</v>
      </c>
      <c r="E3" s="4" t="s">
        <v>35</v>
      </c>
      <c r="G3" s="2" t="s">
        <v>33</v>
      </c>
      <c r="H3" s="4" t="s">
        <v>35</v>
      </c>
      <c r="J3" s="2" t="s">
        <v>33</v>
      </c>
      <c r="K3" s="4" t="s">
        <v>36</v>
      </c>
    </row>
    <row r="4" spans="1:11" x14ac:dyDescent="0.25">
      <c r="A4" s="3" t="s">
        <v>9</v>
      </c>
      <c r="B4" s="4">
        <v>763234.5</v>
      </c>
      <c r="D4" s="3" t="s">
        <v>22</v>
      </c>
      <c r="E4" s="4">
        <v>291833.5</v>
      </c>
      <c r="G4" s="3" t="s">
        <v>10</v>
      </c>
      <c r="H4" s="4">
        <v>1279962.5</v>
      </c>
      <c r="J4" s="3" t="s">
        <v>10</v>
      </c>
      <c r="K4" s="4">
        <v>255992.5</v>
      </c>
    </row>
    <row r="5" spans="1:11" x14ac:dyDescent="0.25">
      <c r="A5" s="3" t="s">
        <v>21</v>
      </c>
      <c r="B5" s="4">
        <v>799848.5</v>
      </c>
      <c r="D5" s="3" t="s">
        <v>11</v>
      </c>
      <c r="E5" s="4">
        <v>231925</v>
      </c>
      <c r="G5" s="3" t="s">
        <v>29</v>
      </c>
      <c r="H5" s="4">
        <v>461768</v>
      </c>
      <c r="J5" s="3" t="s">
        <v>29</v>
      </c>
      <c r="K5" s="4">
        <v>115442</v>
      </c>
    </row>
    <row r="6" spans="1:11" x14ac:dyDescent="0.25">
      <c r="A6" s="3" t="s">
        <v>14</v>
      </c>
      <c r="B6" s="4">
        <v>615686</v>
      </c>
      <c r="D6" s="3" t="s">
        <v>26</v>
      </c>
      <c r="E6" s="4">
        <v>219071</v>
      </c>
      <c r="G6" s="3" t="s">
        <v>31</v>
      </c>
      <c r="H6" s="4">
        <v>737721</v>
      </c>
      <c r="J6" s="3" t="s">
        <v>31</v>
      </c>
      <c r="K6" s="4">
        <v>122953.5</v>
      </c>
    </row>
    <row r="7" spans="1:11" x14ac:dyDescent="0.25">
      <c r="A7" s="3" t="s">
        <v>12</v>
      </c>
      <c r="B7" s="4">
        <v>631911</v>
      </c>
      <c r="D7" s="3" t="s">
        <v>24</v>
      </c>
      <c r="E7" s="4">
        <v>333354.5</v>
      </c>
      <c r="G7" s="3" t="s">
        <v>28</v>
      </c>
      <c r="H7" s="4">
        <v>608135</v>
      </c>
      <c r="J7" s="3" t="s">
        <v>28</v>
      </c>
      <c r="K7" s="4">
        <v>121627</v>
      </c>
    </row>
    <row r="8" spans="1:11" x14ac:dyDescent="0.25">
      <c r="A8" s="3" t="s">
        <v>18</v>
      </c>
      <c r="B8" s="4">
        <v>776421.5</v>
      </c>
      <c r="D8" s="3" t="s">
        <v>23</v>
      </c>
      <c r="E8" s="4">
        <v>215866</v>
      </c>
      <c r="G8" s="3" t="s">
        <v>27</v>
      </c>
      <c r="H8" s="4">
        <v>117918</v>
      </c>
      <c r="J8" s="3" t="s">
        <v>27</v>
      </c>
      <c r="K8" s="4">
        <v>117918</v>
      </c>
    </row>
    <row r="9" spans="1:11" x14ac:dyDescent="0.25">
      <c r="A9" s="3" t="s">
        <v>34</v>
      </c>
      <c r="B9" s="4">
        <v>3587101.5</v>
      </c>
      <c r="D9" s="3" t="s">
        <v>13</v>
      </c>
      <c r="E9" s="4">
        <v>426848</v>
      </c>
      <c r="G9" s="3" t="s">
        <v>30</v>
      </c>
      <c r="H9" s="4">
        <v>381597</v>
      </c>
      <c r="J9" s="3" t="s">
        <v>30</v>
      </c>
      <c r="K9" s="4">
        <v>127199</v>
      </c>
    </row>
    <row r="10" spans="1:11" x14ac:dyDescent="0.25">
      <c r="D10" s="3" t="s">
        <v>15</v>
      </c>
      <c r="E10" s="4">
        <v>296147.5</v>
      </c>
      <c r="G10" s="3" t="s">
        <v>34</v>
      </c>
      <c r="H10" s="4">
        <v>3587101.5</v>
      </c>
      <c r="J10" s="3" t="s">
        <v>34</v>
      </c>
      <c r="K10" s="4">
        <v>861132</v>
      </c>
    </row>
    <row r="11" spans="1:11" x14ac:dyDescent="0.25">
      <c r="D11" s="3" t="s">
        <v>16</v>
      </c>
      <c r="E11" s="4">
        <v>261755</v>
      </c>
    </row>
    <row r="12" spans="1:11" x14ac:dyDescent="0.25">
      <c r="A12" s="5" t="s">
        <v>37</v>
      </c>
      <c r="B12" s="6">
        <f>B9</f>
        <v>3587101.5</v>
      </c>
      <c r="D12" s="3" t="s">
        <v>17</v>
      </c>
      <c r="E12" s="4">
        <v>238774</v>
      </c>
    </row>
    <row r="13" spans="1:11" x14ac:dyDescent="0.25">
      <c r="A13" s="5" t="s">
        <v>38</v>
      </c>
      <c r="B13" s="6">
        <f>K9</f>
        <v>127199</v>
      </c>
      <c r="D13" s="3" t="s">
        <v>19</v>
      </c>
      <c r="E13" s="4">
        <v>434637</v>
      </c>
    </row>
    <row r="14" spans="1:11" x14ac:dyDescent="0.25">
      <c r="D14" s="3" t="s">
        <v>25</v>
      </c>
      <c r="E14" s="4">
        <v>217879</v>
      </c>
    </row>
    <row r="15" spans="1:11" x14ac:dyDescent="0.25">
      <c r="D15" s="3" t="s">
        <v>20</v>
      </c>
      <c r="E15" s="4">
        <v>419011</v>
      </c>
    </row>
    <row r="16" spans="1:11" x14ac:dyDescent="0.25">
      <c r="D16" s="3" t="s">
        <v>34</v>
      </c>
      <c r="E16" s="4">
        <v>3587101.5</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A800B-B71A-40AB-A810-B1489DA2A45D}">
  <dimension ref="W9"/>
  <sheetViews>
    <sheetView showGridLines="0" tabSelected="1" topLeftCell="C1" workbookViewId="0">
      <selection activeCell="B14" sqref="B14"/>
    </sheetView>
  </sheetViews>
  <sheetFormatPr defaultRowHeight="15" x14ac:dyDescent="0.25"/>
  <sheetData>
    <row r="9" spans="23:23" x14ac:dyDescent="0.25">
      <c r="W9" t="e" cm="1">
        <f t="array" ref="W9">pivot!B13 =pivot!B</f>
        <v>#NAME?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B33C2-62C9-495F-9199-ED0B5514EB88}">
  <dimension ref="A1:J526"/>
  <sheetViews>
    <sheetView workbookViewId="0">
      <selection activeCell="L3" sqref="L3"/>
    </sheetView>
  </sheetViews>
  <sheetFormatPr defaultRowHeight="15" x14ac:dyDescent="0.25"/>
  <cols>
    <col min="3" max="3" width="10.85546875" customWidth="1"/>
    <col min="6" max="6" width="12" customWidth="1"/>
    <col min="7" max="7" width="12.85546875" customWidth="1"/>
  </cols>
  <sheetData>
    <row r="1" spans="1:10" x14ac:dyDescent="0.25">
      <c r="A1" t="s">
        <v>0</v>
      </c>
      <c r="B1" t="s">
        <v>1</v>
      </c>
      <c r="C1" t="s">
        <v>2</v>
      </c>
      <c r="D1" t="s">
        <v>3</v>
      </c>
      <c r="E1" t="s">
        <v>4</v>
      </c>
      <c r="F1" t="s">
        <v>5</v>
      </c>
      <c r="G1" t="s">
        <v>6</v>
      </c>
      <c r="H1" t="s">
        <v>7</v>
      </c>
      <c r="I1" t="s">
        <v>8</v>
      </c>
      <c r="J1" t="s">
        <v>32</v>
      </c>
    </row>
    <row r="2" spans="1:10" x14ac:dyDescent="0.25">
      <c r="A2" t="s">
        <v>9</v>
      </c>
      <c r="B2" t="s">
        <v>10</v>
      </c>
      <c r="C2">
        <v>292</v>
      </c>
      <c r="D2">
        <v>5</v>
      </c>
      <c r="E2">
        <v>2</v>
      </c>
      <c r="F2" s="1">
        <v>43497</v>
      </c>
      <c r="G2">
        <v>2</v>
      </c>
      <c r="H2" t="s">
        <v>11</v>
      </c>
      <c r="I2">
        <v>2019</v>
      </c>
      <c r="J2">
        <f>C2*D2</f>
        <v>1460</v>
      </c>
    </row>
    <row r="3" spans="1:10" x14ac:dyDescent="0.25">
      <c r="A3" t="s">
        <v>12</v>
      </c>
      <c r="B3" t="s">
        <v>10</v>
      </c>
      <c r="C3">
        <v>974</v>
      </c>
      <c r="D3">
        <v>5</v>
      </c>
      <c r="E3">
        <v>2</v>
      </c>
      <c r="F3" s="1">
        <v>43497</v>
      </c>
      <c r="G3">
        <v>2</v>
      </c>
      <c r="H3" t="s">
        <v>11</v>
      </c>
      <c r="I3">
        <v>2019</v>
      </c>
      <c r="J3">
        <f t="shared" ref="J3:J66" si="0">C3*D3</f>
        <v>4870</v>
      </c>
    </row>
    <row r="4" spans="1:10" x14ac:dyDescent="0.25">
      <c r="A4" t="s">
        <v>9</v>
      </c>
      <c r="B4" t="s">
        <v>10</v>
      </c>
      <c r="C4">
        <v>2518</v>
      </c>
      <c r="D4">
        <v>5</v>
      </c>
      <c r="E4">
        <v>2</v>
      </c>
      <c r="F4" s="1">
        <v>43617</v>
      </c>
      <c r="G4">
        <v>6</v>
      </c>
      <c r="H4" t="s">
        <v>13</v>
      </c>
      <c r="I4">
        <v>2019</v>
      </c>
      <c r="J4">
        <f t="shared" si="0"/>
        <v>12590</v>
      </c>
    </row>
    <row r="5" spans="1:10" x14ac:dyDescent="0.25">
      <c r="A5" t="s">
        <v>14</v>
      </c>
      <c r="B5" t="s">
        <v>10</v>
      </c>
      <c r="C5">
        <v>1006</v>
      </c>
      <c r="D5">
        <v>5</v>
      </c>
      <c r="E5">
        <v>2</v>
      </c>
      <c r="F5" s="1">
        <v>43617</v>
      </c>
      <c r="G5">
        <v>6</v>
      </c>
      <c r="H5" t="s">
        <v>13</v>
      </c>
      <c r="I5">
        <v>2019</v>
      </c>
      <c r="J5">
        <f t="shared" si="0"/>
        <v>5030</v>
      </c>
    </row>
    <row r="6" spans="1:10" x14ac:dyDescent="0.25">
      <c r="A6" t="s">
        <v>14</v>
      </c>
      <c r="B6" t="s">
        <v>10</v>
      </c>
      <c r="C6">
        <v>367</v>
      </c>
      <c r="D6">
        <v>5</v>
      </c>
      <c r="E6">
        <v>2</v>
      </c>
      <c r="F6" s="1">
        <v>43647</v>
      </c>
      <c r="G6">
        <v>7</v>
      </c>
      <c r="H6" t="s">
        <v>15</v>
      </c>
      <c r="I6">
        <v>2019</v>
      </c>
      <c r="J6">
        <f t="shared" si="0"/>
        <v>1835</v>
      </c>
    </row>
    <row r="7" spans="1:10" x14ac:dyDescent="0.25">
      <c r="A7" t="s">
        <v>12</v>
      </c>
      <c r="B7" t="s">
        <v>10</v>
      </c>
      <c r="C7">
        <v>883</v>
      </c>
      <c r="D7">
        <v>5</v>
      </c>
      <c r="E7">
        <v>2</v>
      </c>
      <c r="F7" s="1">
        <v>43678</v>
      </c>
      <c r="G7">
        <v>8</v>
      </c>
      <c r="H7" t="s">
        <v>16</v>
      </c>
      <c r="I7">
        <v>2019</v>
      </c>
      <c r="J7">
        <f t="shared" si="0"/>
        <v>4415</v>
      </c>
    </row>
    <row r="8" spans="1:10" x14ac:dyDescent="0.25">
      <c r="A8" t="s">
        <v>12</v>
      </c>
      <c r="B8" t="s">
        <v>10</v>
      </c>
      <c r="C8">
        <v>2472</v>
      </c>
      <c r="D8">
        <v>5</v>
      </c>
      <c r="E8">
        <v>2</v>
      </c>
      <c r="F8" s="1">
        <v>43709</v>
      </c>
      <c r="G8">
        <v>9</v>
      </c>
      <c r="H8" t="s">
        <v>17</v>
      </c>
      <c r="I8">
        <v>2019</v>
      </c>
      <c r="J8">
        <f t="shared" si="0"/>
        <v>12360</v>
      </c>
    </row>
    <row r="9" spans="1:10" x14ac:dyDescent="0.25">
      <c r="A9" t="s">
        <v>18</v>
      </c>
      <c r="B9" t="s">
        <v>10</v>
      </c>
      <c r="C9">
        <v>1143</v>
      </c>
      <c r="D9">
        <v>5</v>
      </c>
      <c r="E9">
        <v>2</v>
      </c>
      <c r="F9" s="1">
        <v>43739</v>
      </c>
      <c r="G9">
        <v>10</v>
      </c>
      <c r="H9" t="s">
        <v>19</v>
      </c>
      <c r="I9">
        <v>2019</v>
      </c>
      <c r="J9">
        <f t="shared" si="0"/>
        <v>5715</v>
      </c>
    </row>
    <row r="10" spans="1:10" x14ac:dyDescent="0.25">
      <c r="A10" t="s">
        <v>9</v>
      </c>
      <c r="B10" t="s">
        <v>10</v>
      </c>
      <c r="C10">
        <v>1817</v>
      </c>
      <c r="D10">
        <v>5</v>
      </c>
      <c r="E10">
        <v>2</v>
      </c>
      <c r="F10" s="1">
        <v>43800</v>
      </c>
      <c r="G10">
        <v>12</v>
      </c>
      <c r="H10" t="s">
        <v>20</v>
      </c>
      <c r="I10">
        <v>2019</v>
      </c>
      <c r="J10">
        <f t="shared" si="0"/>
        <v>9085</v>
      </c>
    </row>
    <row r="11" spans="1:10" x14ac:dyDescent="0.25">
      <c r="A11" t="s">
        <v>14</v>
      </c>
      <c r="B11" t="s">
        <v>10</v>
      </c>
      <c r="C11">
        <v>1513</v>
      </c>
      <c r="D11">
        <v>5</v>
      </c>
      <c r="E11">
        <v>2</v>
      </c>
      <c r="F11" s="1">
        <v>43800</v>
      </c>
      <c r="G11">
        <v>12</v>
      </c>
      <c r="H11" t="s">
        <v>20</v>
      </c>
      <c r="I11">
        <v>2019</v>
      </c>
      <c r="J11">
        <f t="shared" si="0"/>
        <v>7565</v>
      </c>
    </row>
    <row r="12" spans="1:10" x14ac:dyDescent="0.25">
      <c r="A12" t="s">
        <v>21</v>
      </c>
      <c r="B12" t="s">
        <v>10</v>
      </c>
      <c r="C12">
        <v>3945</v>
      </c>
      <c r="D12">
        <v>5</v>
      </c>
      <c r="E12">
        <v>2</v>
      </c>
      <c r="F12" s="1">
        <v>43466</v>
      </c>
      <c r="G12">
        <v>1</v>
      </c>
      <c r="H12" t="s">
        <v>22</v>
      </c>
      <c r="I12">
        <v>2019</v>
      </c>
      <c r="J12">
        <f t="shared" si="0"/>
        <v>19725</v>
      </c>
    </row>
    <row r="13" spans="1:10" x14ac:dyDescent="0.25">
      <c r="A13" t="s">
        <v>21</v>
      </c>
      <c r="B13" t="s">
        <v>10</v>
      </c>
      <c r="C13">
        <v>2296</v>
      </c>
      <c r="D13">
        <v>5</v>
      </c>
      <c r="E13">
        <v>2</v>
      </c>
      <c r="F13" s="1">
        <v>43497</v>
      </c>
      <c r="G13">
        <v>2</v>
      </c>
      <c r="H13" t="s">
        <v>11</v>
      </c>
      <c r="I13">
        <v>2019</v>
      </c>
      <c r="J13">
        <f t="shared" si="0"/>
        <v>11480</v>
      </c>
    </row>
    <row r="14" spans="1:10" x14ac:dyDescent="0.25">
      <c r="A14" t="s">
        <v>21</v>
      </c>
      <c r="B14" t="s">
        <v>10</v>
      </c>
      <c r="C14">
        <v>1030</v>
      </c>
      <c r="D14">
        <v>5</v>
      </c>
      <c r="E14">
        <v>2</v>
      </c>
      <c r="F14" s="1">
        <v>43586</v>
      </c>
      <c r="G14">
        <v>5</v>
      </c>
      <c r="H14" t="s">
        <v>23</v>
      </c>
      <c r="I14">
        <v>2019</v>
      </c>
      <c r="J14">
        <f t="shared" si="0"/>
        <v>5150</v>
      </c>
    </row>
    <row r="15" spans="1:10" x14ac:dyDescent="0.25">
      <c r="A15" t="s">
        <v>18</v>
      </c>
      <c r="B15" t="s">
        <v>10</v>
      </c>
      <c r="C15">
        <v>1514</v>
      </c>
      <c r="D15">
        <v>5</v>
      </c>
      <c r="E15">
        <v>2</v>
      </c>
      <c r="F15" s="1">
        <v>43497</v>
      </c>
      <c r="G15">
        <v>2</v>
      </c>
      <c r="H15" t="s">
        <v>11</v>
      </c>
      <c r="I15">
        <v>2019</v>
      </c>
      <c r="J15">
        <f t="shared" si="0"/>
        <v>7570</v>
      </c>
    </row>
    <row r="16" spans="1:10" x14ac:dyDescent="0.25">
      <c r="A16" t="s">
        <v>18</v>
      </c>
      <c r="B16" t="s">
        <v>10</v>
      </c>
      <c r="C16">
        <v>4492.5</v>
      </c>
      <c r="D16">
        <v>5</v>
      </c>
      <c r="E16">
        <v>2</v>
      </c>
      <c r="F16" s="1">
        <v>43556</v>
      </c>
      <c r="G16">
        <v>4</v>
      </c>
      <c r="H16" t="s">
        <v>24</v>
      </c>
      <c r="I16">
        <v>2019</v>
      </c>
      <c r="J16">
        <f t="shared" si="0"/>
        <v>22462.5</v>
      </c>
    </row>
    <row r="17" spans="1:10" x14ac:dyDescent="0.25">
      <c r="A17" t="s">
        <v>18</v>
      </c>
      <c r="B17" t="s">
        <v>10</v>
      </c>
      <c r="C17">
        <v>727</v>
      </c>
      <c r="D17">
        <v>5</v>
      </c>
      <c r="E17">
        <v>2</v>
      </c>
      <c r="F17" s="1">
        <v>43617</v>
      </c>
      <c r="G17">
        <v>6</v>
      </c>
      <c r="H17" t="s">
        <v>13</v>
      </c>
      <c r="I17">
        <v>2019</v>
      </c>
      <c r="J17">
        <f t="shared" si="0"/>
        <v>3635</v>
      </c>
    </row>
    <row r="18" spans="1:10" x14ac:dyDescent="0.25">
      <c r="A18" t="s">
        <v>21</v>
      </c>
      <c r="B18" t="s">
        <v>10</v>
      </c>
      <c r="C18">
        <v>787</v>
      </c>
      <c r="D18">
        <v>5</v>
      </c>
      <c r="E18">
        <v>2</v>
      </c>
      <c r="F18" s="1">
        <v>43617</v>
      </c>
      <c r="G18">
        <v>6</v>
      </c>
      <c r="H18" t="s">
        <v>13</v>
      </c>
      <c r="I18">
        <v>2019</v>
      </c>
      <c r="J18">
        <f t="shared" si="0"/>
        <v>3935</v>
      </c>
    </row>
    <row r="19" spans="1:10" x14ac:dyDescent="0.25">
      <c r="A19" t="s">
        <v>12</v>
      </c>
      <c r="B19" t="s">
        <v>10</v>
      </c>
      <c r="C19">
        <v>1823</v>
      </c>
      <c r="D19">
        <v>5</v>
      </c>
      <c r="E19">
        <v>2</v>
      </c>
      <c r="F19" s="1">
        <v>43647</v>
      </c>
      <c r="G19">
        <v>7</v>
      </c>
      <c r="H19" t="s">
        <v>15</v>
      </c>
      <c r="I19">
        <v>2019</v>
      </c>
      <c r="J19">
        <f t="shared" si="0"/>
        <v>9115</v>
      </c>
    </row>
    <row r="20" spans="1:10" x14ac:dyDescent="0.25">
      <c r="A20" t="s">
        <v>14</v>
      </c>
      <c r="B20" t="s">
        <v>10</v>
      </c>
      <c r="C20">
        <v>747</v>
      </c>
      <c r="D20">
        <v>5</v>
      </c>
      <c r="E20">
        <v>2</v>
      </c>
      <c r="F20" s="1">
        <v>43709</v>
      </c>
      <c r="G20">
        <v>9</v>
      </c>
      <c r="H20" t="s">
        <v>17</v>
      </c>
      <c r="I20">
        <v>2019</v>
      </c>
      <c r="J20">
        <f t="shared" si="0"/>
        <v>3735</v>
      </c>
    </row>
    <row r="21" spans="1:10" x14ac:dyDescent="0.25">
      <c r="A21" t="s">
        <v>18</v>
      </c>
      <c r="B21" t="s">
        <v>10</v>
      </c>
      <c r="C21">
        <v>2905</v>
      </c>
      <c r="D21">
        <v>5</v>
      </c>
      <c r="E21">
        <v>2</v>
      </c>
      <c r="F21" s="1">
        <v>43770</v>
      </c>
      <c r="G21">
        <v>11</v>
      </c>
      <c r="H21" t="s">
        <v>25</v>
      </c>
      <c r="I21">
        <v>2019</v>
      </c>
      <c r="J21">
        <f t="shared" si="0"/>
        <v>14525</v>
      </c>
    </row>
    <row r="22" spans="1:10" x14ac:dyDescent="0.25">
      <c r="A22" t="s">
        <v>21</v>
      </c>
      <c r="B22" t="s">
        <v>10</v>
      </c>
      <c r="C22">
        <v>2155</v>
      </c>
      <c r="D22">
        <v>5</v>
      </c>
      <c r="E22">
        <v>2</v>
      </c>
      <c r="F22" s="1">
        <v>43800</v>
      </c>
      <c r="G22">
        <v>12</v>
      </c>
      <c r="H22" t="s">
        <v>20</v>
      </c>
      <c r="I22">
        <v>2019</v>
      </c>
      <c r="J22">
        <f t="shared" si="0"/>
        <v>10775</v>
      </c>
    </row>
    <row r="23" spans="1:10" x14ac:dyDescent="0.25">
      <c r="A23" t="s">
        <v>9</v>
      </c>
      <c r="B23" t="s">
        <v>10</v>
      </c>
      <c r="C23">
        <v>2363</v>
      </c>
      <c r="D23">
        <v>5</v>
      </c>
      <c r="E23">
        <v>2</v>
      </c>
      <c r="F23" s="1">
        <v>43497</v>
      </c>
      <c r="G23">
        <v>2</v>
      </c>
      <c r="H23" t="s">
        <v>11</v>
      </c>
      <c r="I23">
        <v>2019</v>
      </c>
      <c r="J23">
        <f t="shared" si="0"/>
        <v>11815</v>
      </c>
    </row>
    <row r="24" spans="1:10" x14ac:dyDescent="0.25">
      <c r="A24" t="s">
        <v>21</v>
      </c>
      <c r="B24" t="s">
        <v>10</v>
      </c>
      <c r="C24">
        <v>918</v>
      </c>
      <c r="D24">
        <v>5</v>
      </c>
      <c r="E24">
        <v>2</v>
      </c>
      <c r="F24" s="1">
        <v>43586</v>
      </c>
      <c r="G24">
        <v>5</v>
      </c>
      <c r="H24" t="s">
        <v>23</v>
      </c>
      <c r="I24">
        <v>2019</v>
      </c>
      <c r="J24">
        <f t="shared" si="0"/>
        <v>4590</v>
      </c>
    </row>
    <row r="25" spans="1:10" x14ac:dyDescent="0.25">
      <c r="A25" t="s">
        <v>14</v>
      </c>
      <c r="B25" t="s">
        <v>10</v>
      </c>
      <c r="C25">
        <v>1728</v>
      </c>
      <c r="D25">
        <v>5</v>
      </c>
      <c r="E25">
        <v>2</v>
      </c>
      <c r="F25" s="1">
        <v>43586</v>
      </c>
      <c r="G25">
        <v>5</v>
      </c>
      <c r="H25" t="s">
        <v>23</v>
      </c>
      <c r="I25">
        <v>2019</v>
      </c>
      <c r="J25">
        <f t="shared" si="0"/>
        <v>8640</v>
      </c>
    </row>
    <row r="26" spans="1:10" x14ac:dyDescent="0.25">
      <c r="A26" t="s">
        <v>18</v>
      </c>
      <c r="B26" t="s">
        <v>10</v>
      </c>
      <c r="C26">
        <v>1142</v>
      </c>
      <c r="D26">
        <v>5</v>
      </c>
      <c r="E26">
        <v>2</v>
      </c>
      <c r="F26" s="1">
        <v>43617</v>
      </c>
      <c r="G26">
        <v>6</v>
      </c>
      <c r="H26" t="s">
        <v>13</v>
      </c>
      <c r="I26">
        <v>2019</v>
      </c>
      <c r="J26">
        <f t="shared" si="0"/>
        <v>5710</v>
      </c>
    </row>
    <row r="27" spans="1:10" x14ac:dyDescent="0.25">
      <c r="A27" t="s">
        <v>12</v>
      </c>
      <c r="B27" t="s">
        <v>10</v>
      </c>
      <c r="C27">
        <v>662</v>
      </c>
      <c r="D27">
        <v>5</v>
      </c>
      <c r="E27">
        <v>2</v>
      </c>
      <c r="F27" s="1">
        <v>43617</v>
      </c>
      <c r="G27">
        <v>6</v>
      </c>
      <c r="H27" t="s">
        <v>13</v>
      </c>
      <c r="I27">
        <v>2019</v>
      </c>
      <c r="J27">
        <f t="shared" si="0"/>
        <v>3310</v>
      </c>
    </row>
    <row r="28" spans="1:10" x14ac:dyDescent="0.25">
      <c r="A28" t="s">
        <v>9</v>
      </c>
      <c r="B28" t="s">
        <v>10</v>
      </c>
      <c r="C28">
        <v>1295</v>
      </c>
      <c r="D28">
        <v>5</v>
      </c>
      <c r="E28">
        <v>2</v>
      </c>
      <c r="F28" s="1">
        <v>43739</v>
      </c>
      <c r="G28">
        <v>10</v>
      </c>
      <c r="H28" t="s">
        <v>19</v>
      </c>
      <c r="I28">
        <v>2019</v>
      </c>
      <c r="J28">
        <f t="shared" si="0"/>
        <v>6475</v>
      </c>
    </row>
    <row r="29" spans="1:10" x14ac:dyDescent="0.25">
      <c r="A29" t="s">
        <v>9</v>
      </c>
      <c r="B29" t="s">
        <v>10</v>
      </c>
      <c r="C29">
        <v>1916</v>
      </c>
      <c r="D29">
        <v>5</v>
      </c>
      <c r="E29">
        <v>2</v>
      </c>
      <c r="F29" s="1">
        <v>43800</v>
      </c>
      <c r="G29">
        <v>12</v>
      </c>
      <c r="H29" t="s">
        <v>20</v>
      </c>
      <c r="I29">
        <v>2019</v>
      </c>
      <c r="J29">
        <f t="shared" si="0"/>
        <v>9580</v>
      </c>
    </row>
    <row r="30" spans="1:10" x14ac:dyDescent="0.25">
      <c r="A30" t="s">
        <v>9</v>
      </c>
      <c r="B30" t="s">
        <v>10</v>
      </c>
      <c r="C30">
        <v>2852</v>
      </c>
      <c r="D30">
        <v>5</v>
      </c>
      <c r="E30">
        <v>2</v>
      </c>
      <c r="F30" s="1">
        <v>43800</v>
      </c>
      <c r="G30">
        <v>12</v>
      </c>
      <c r="H30" t="s">
        <v>20</v>
      </c>
      <c r="I30">
        <v>2019</v>
      </c>
      <c r="J30">
        <f t="shared" si="0"/>
        <v>14260</v>
      </c>
    </row>
    <row r="31" spans="1:10" x14ac:dyDescent="0.25">
      <c r="A31" t="s">
        <v>9</v>
      </c>
      <c r="B31" t="s">
        <v>10</v>
      </c>
      <c r="C31">
        <v>2729</v>
      </c>
      <c r="D31">
        <v>5</v>
      </c>
      <c r="E31">
        <v>2</v>
      </c>
      <c r="F31" s="1">
        <v>43800</v>
      </c>
      <c r="G31">
        <v>12</v>
      </c>
      <c r="H31" t="s">
        <v>20</v>
      </c>
      <c r="I31">
        <v>2019</v>
      </c>
      <c r="J31">
        <f t="shared" si="0"/>
        <v>13645</v>
      </c>
    </row>
    <row r="32" spans="1:10" x14ac:dyDescent="0.25">
      <c r="A32" t="s">
        <v>21</v>
      </c>
      <c r="B32" t="s">
        <v>10</v>
      </c>
      <c r="C32">
        <v>1055</v>
      </c>
      <c r="D32">
        <v>5</v>
      </c>
      <c r="E32">
        <v>2</v>
      </c>
      <c r="F32" s="1">
        <v>43800</v>
      </c>
      <c r="G32">
        <v>12</v>
      </c>
      <c r="H32" t="s">
        <v>20</v>
      </c>
      <c r="I32">
        <v>2019</v>
      </c>
      <c r="J32">
        <f t="shared" si="0"/>
        <v>5275</v>
      </c>
    </row>
    <row r="33" spans="1:10" x14ac:dyDescent="0.25">
      <c r="A33" t="s">
        <v>12</v>
      </c>
      <c r="B33" t="s">
        <v>10</v>
      </c>
      <c r="C33">
        <v>1084</v>
      </c>
      <c r="D33">
        <v>5</v>
      </c>
      <c r="E33">
        <v>2</v>
      </c>
      <c r="F33" s="1">
        <v>43800</v>
      </c>
      <c r="G33">
        <v>12</v>
      </c>
      <c r="H33" t="s">
        <v>20</v>
      </c>
      <c r="I33">
        <v>2019</v>
      </c>
      <c r="J33">
        <f t="shared" si="0"/>
        <v>5420</v>
      </c>
    </row>
    <row r="34" spans="1:10" x14ac:dyDescent="0.25">
      <c r="A34" t="s">
        <v>21</v>
      </c>
      <c r="B34" t="s">
        <v>10</v>
      </c>
      <c r="C34">
        <v>2434.5</v>
      </c>
      <c r="D34">
        <v>5</v>
      </c>
      <c r="E34">
        <v>2</v>
      </c>
      <c r="F34" s="1">
        <v>43466</v>
      </c>
      <c r="G34">
        <v>1</v>
      </c>
      <c r="H34" t="s">
        <v>22</v>
      </c>
      <c r="I34">
        <v>2019</v>
      </c>
      <c r="J34">
        <f t="shared" si="0"/>
        <v>12172.5</v>
      </c>
    </row>
    <row r="35" spans="1:10" x14ac:dyDescent="0.25">
      <c r="A35" t="s">
        <v>9</v>
      </c>
      <c r="B35" t="s">
        <v>10</v>
      </c>
      <c r="C35">
        <v>1774</v>
      </c>
      <c r="D35">
        <v>5</v>
      </c>
      <c r="E35">
        <v>2</v>
      </c>
      <c r="F35" s="1">
        <v>43525</v>
      </c>
      <c r="G35">
        <v>3</v>
      </c>
      <c r="H35" t="s">
        <v>26</v>
      </c>
      <c r="I35">
        <v>2019</v>
      </c>
      <c r="J35">
        <f t="shared" si="0"/>
        <v>8870</v>
      </c>
    </row>
    <row r="36" spans="1:10" x14ac:dyDescent="0.25">
      <c r="A36" t="s">
        <v>21</v>
      </c>
      <c r="B36" t="s">
        <v>10</v>
      </c>
      <c r="C36">
        <v>1901</v>
      </c>
      <c r="D36">
        <v>5</v>
      </c>
      <c r="E36">
        <v>2</v>
      </c>
      <c r="F36" s="1">
        <v>43617</v>
      </c>
      <c r="G36">
        <v>6</v>
      </c>
      <c r="H36" t="s">
        <v>13</v>
      </c>
      <c r="I36">
        <v>2019</v>
      </c>
      <c r="J36">
        <f t="shared" si="0"/>
        <v>9505</v>
      </c>
    </row>
    <row r="37" spans="1:10" x14ac:dyDescent="0.25">
      <c r="A37" t="s">
        <v>14</v>
      </c>
      <c r="B37" t="s">
        <v>10</v>
      </c>
      <c r="C37">
        <v>689</v>
      </c>
      <c r="D37">
        <v>5</v>
      </c>
      <c r="E37">
        <v>2</v>
      </c>
      <c r="F37" s="1">
        <v>43617</v>
      </c>
      <c r="G37">
        <v>6</v>
      </c>
      <c r="H37" t="s">
        <v>13</v>
      </c>
      <c r="I37">
        <v>2019</v>
      </c>
      <c r="J37">
        <f t="shared" si="0"/>
        <v>3445</v>
      </c>
    </row>
    <row r="38" spans="1:10" x14ac:dyDescent="0.25">
      <c r="A38" t="s">
        <v>14</v>
      </c>
      <c r="B38" t="s">
        <v>10</v>
      </c>
      <c r="C38">
        <v>1570</v>
      </c>
      <c r="D38">
        <v>5</v>
      </c>
      <c r="E38">
        <v>2</v>
      </c>
      <c r="F38" s="1">
        <v>43617</v>
      </c>
      <c r="G38">
        <v>6</v>
      </c>
      <c r="H38" t="s">
        <v>13</v>
      </c>
      <c r="I38">
        <v>2019</v>
      </c>
      <c r="J38">
        <f t="shared" si="0"/>
        <v>7850</v>
      </c>
    </row>
    <row r="39" spans="1:10" x14ac:dyDescent="0.25">
      <c r="A39" t="s">
        <v>18</v>
      </c>
      <c r="B39" t="s">
        <v>10</v>
      </c>
      <c r="C39">
        <v>1369.5</v>
      </c>
      <c r="D39">
        <v>5</v>
      </c>
      <c r="E39">
        <v>2</v>
      </c>
      <c r="F39" s="1">
        <v>43647</v>
      </c>
      <c r="G39">
        <v>7</v>
      </c>
      <c r="H39" t="s">
        <v>15</v>
      </c>
      <c r="I39">
        <v>2019</v>
      </c>
      <c r="J39">
        <f t="shared" si="0"/>
        <v>6847.5</v>
      </c>
    </row>
    <row r="40" spans="1:10" x14ac:dyDescent="0.25">
      <c r="A40" t="s">
        <v>9</v>
      </c>
      <c r="B40" t="s">
        <v>10</v>
      </c>
      <c r="C40">
        <v>2009</v>
      </c>
      <c r="D40">
        <v>5</v>
      </c>
      <c r="E40">
        <v>2</v>
      </c>
      <c r="F40" s="1">
        <v>43739</v>
      </c>
      <c r="G40">
        <v>10</v>
      </c>
      <c r="H40" t="s">
        <v>19</v>
      </c>
      <c r="I40">
        <v>2019</v>
      </c>
      <c r="J40">
        <f t="shared" si="0"/>
        <v>10045</v>
      </c>
    </row>
    <row r="41" spans="1:10" x14ac:dyDescent="0.25">
      <c r="A41" t="s">
        <v>21</v>
      </c>
      <c r="B41" t="s">
        <v>10</v>
      </c>
      <c r="C41">
        <v>1287</v>
      </c>
      <c r="D41">
        <v>5</v>
      </c>
      <c r="E41">
        <v>2</v>
      </c>
      <c r="F41" s="1">
        <v>43800</v>
      </c>
      <c r="G41">
        <v>12</v>
      </c>
      <c r="H41" t="s">
        <v>20</v>
      </c>
      <c r="I41">
        <v>2019</v>
      </c>
      <c r="J41">
        <f t="shared" si="0"/>
        <v>6435</v>
      </c>
    </row>
    <row r="42" spans="1:10" x14ac:dyDescent="0.25">
      <c r="A42" t="s">
        <v>14</v>
      </c>
      <c r="B42" t="s">
        <v>10</v>
      </c>
      <c r="C42">
        <v>1706</v>
      </c>
      <c r="D42">
        <v>5</v>
      </c>
      <c r="E42">
        <v>2</v>
      </c>
      <c r="F42" s="1">
        <v>43800</v>
      </c>
      <c r="G42">
        <v>12</v>
      </c>
      <c r="H42" t="s">
        <v>20</v>
      </c>
      <c r="I42">
        <v>2019</v>
      </c>
      <c r="J42">
        <f t="shared" si="0"/>
        <v>8530</v>
      </c>
    </row>
    <row r="43" spans="1:10" x14ac:dyDescent="0.25">
      <c r="A43" t="s">
        <v>12</v>
      </c>
      <c r="B43" t="s">
        <v>10</v>
      </c>
      <c r="C43">
        <v>2031</v>
      </c>
      <c r="D43">
        <v>5</v>
      </c>
      <c r="E43">
        <v>2</v>
      </c>
      <c r="F43" s="1">
        <v>43739</v>
      </c>
      <c r="G43">
        <v>10</v>
      </c>
      <c r="H43" t="s">
        <v>19</v>
      </c>
      <c r="I43">
        <v>2019</v>
      </c>
      <c r="J43">
        <f t="shared" si="0"/>
        <v>10155</v>
      </c>
    </row>
    <row r="44" spans="1:10" x14ac:dyDescent="0.25">
      <c r="A44" t="s">
        <v>9</v>
      </c>
      <c r="B44" t="s">
        <v>10</v>
      </c>
      <c r="C44">
        <v>4251</v>
      </c>
      <c r="D44">
        <v>5</v>
      </c>
      <c r="E44">
        <v>2</v>
      </c>
      <c r="F44" s="1">
        <v>43466</v>
      </c>
      <c r="G44">
        <v>1</v>
      </c>
      <c r="H44" t="s">
        <v>22</v>
      </c>
      <c r="I44">
        <v>2019</v>
      </c>
      <c r="J44">
        <f t="shared" si="0"/>
        <v>21255</v>
      </c>
    </row>
    <row r="45" spans="1:10" x14ac:dyDescent="0.25">
      <c r="A45" t="s">
        <v>14</v>
      </c>
      <c r="B45" t="s">
        <v>10</v>
      </c>
      <c r="C45">
        <v>795</v>
      </c>
      <c r="D45">
        <v>5</v>
      </c>
      <c r="E45">
        <v>2</v>
      </c>
      <c r="F45" s="1">
        <v>43525</v>
      </c>
      <c r="G45">
        <v>3</v>
      </c>
      <c r="H45" t="s">
        <v>26</v>
      </c>
      <c r="I45">
        <v>2019</v>
      </c>
      <c r="J45">
        <f t="shared" si="0"/>
        <v>3975</v>
      </c>
    </row>
    <row r="46" spans="1:10" x14ac:dyDescent="0.25">
      <c r="A46" t="s">
        <v>14</v>
      </c>
      <c r="B46" t="s">
        <v>10</v>
      </c>
      <c r="C46">
        <v>1414.5</v>
      </c>
      <c r="D46">
        <v>5</v>
      </c>
      <c r="E46">
        <v>2</v>
      </c>
      <c r="F46" s="1">
        <v>43556</v>
      </c>
      <c r="G46">
        <v>4</v>
      </c>
      <c r="H46" t="s">
        <v>24</v>
      </c>
      <c r="I46">
        <v>2019</v>
      </c>
      <c r="J46">
        <f t="shared" si="0"/>
        <v>7072.5</v>
      </c>
    </row>
    <row r="47" spans="1:10" x14ac:dyDescent="0.25">
      <c r="A47" t="s">
        <v>18</v>
      </c>
      <c r="B47" t="s">
        <v>10</v>
      </c>
      <c r="C47">
        <v>2918</v>
      </c>
      <c r="D47">
        <v>5</v>
      </c>
      <c r="E47">
        <v>2</v>
      </c>
      <c r="F47" s="1">
        <v>43586</v>
      </c>
      <c r="G47">
        <v>5</v>
      </c>
      <c r="H47" t="s">
        <v>23</v>
      </c>
      <c r="I47">
        <v>2019</v>
      </c>
      <c r="J47">
        <f t="shared" si="0"/>
        <v>14590</v>
      </c>
    </row>
    <row r="48" spans="1:10" x14ac:dyDescent="0.25">
      <c r="A48" t="s">
        <v>18</v>
      </c>
      <c r="B48" t="s">
        <v>10</v>
      </c>
      <c r="C48">
        <v>3450</v>
      </c>
      <c r="D48">
        <v>5</v>
      </c>
      <c r="E48">
        <v>2</v>
      </c>
      <c r="F48" s="1">
        <v>43647</v>
      </c>
      <c r="G48">
        <v>7</v>
      </c>
      <c r="H48" t="s">
        <v>15</v>
      </c>
      <c r="I48">
        <v>2019</v>
      </c>
      <c r="J48">
        <f t="shared" si="0"/>
        <v>17250</v>
      </c>
    </row>
    <row r="49" spans="1:10" x14ac:dyDescent="0.25">
      <c r="A49" t="s">
        <v>21</v>
      </c>
      <c r="B49" t="s">
        <v>10</v>
      </c>
      <c r="C49">
        <v>2988</v>
      </c>
      <c r="D49">
        <v>5</v>
      </c>
      <c r="E49">
        <v>2</v>
      </c>
      <c r="F49" s="1">
        <v>43647</v>
      </c>
      <c r="G49">
        <v>7</v>
      </c>
      <c r="H49" t="s">
        <v>15</v>
      </c>
      <c r="I49">
        <v>2019</v>
      </c>
      <c r="J49">
        <f t="shared" si="0"/>
        <v>14940</v>
      </c>
    </row>
    <row r="50" spans="1:10" x14ac:dyDescent="0.25">
      <c r="A50" t="s">
        <v>9</v>
      </c>
      <c r="B50" t="s">
        <v>10</v>
      </c>
      <c r="C50">
        <v>218</v>
      </c>
      <c r="D50">
        <v>5</v>
      </c>
      <c r="E50">
        <v>2</v>
      </c>
      <c r="F50" s="1">
        <v>43709</v>
      </c>
      <c r="G50">
        <v>9</v>
      </c>
      <c r="H50" t="s">
        <v>17</v>
      </c>
      <c r="I50">
        <v>2019</v>
      </c>
      <c r="J50">
        <f t="shared" si="0"/>
        <v>1090</v>
      </c>
    </row>
    <row r="51" spans="1:10" x14ac:dyDescent="0.25">
      <c r="A51" t="s">
        <v>9</v>
      </c>
      <c r="B51" t="s">
        <v>10</v>
      </c>
      <c r="C51">
        <v>2074</v>
      </c>
      <c r="D51">
        <v>5</v>
      </c>
      <c r="E51">
        <v>2</v>
      </c>
      <c r="F51" s="1">
        <v>43709</v>
      </c>
      <c r="G51">
        <v>9</v>
      </c>
      <c r="H51" t="s">
        <v>17</v>
      </c>
      <c r="I51">
        <v>2019</v>
      </c>
      <c r="J51">
        <f t="shared" si="0"/>
        <v>10370</v>
      </c>
    </row>
    <row r="52" spans="1:10" x14ac:dyDescent="0.25">
      <c r="A52" t="s">
        <v>18</v>
      </c>
      <c r="B52" t="s">
        <v>10</v>
      </c>
      <c r="C52">
        <v>1056</v>
      </c>
      <c r="D52">
        <v>5</v>
      </c>
      <c r="E52">
        <v>2</v>
      </c>
      <c r="F52" s="1">
        <v>43709</v>
      </c>
      <c r="G52">
        <v>9</v>
      </c>
      <c r="H52" t="s">
        <v>17</v>
      </c>
      <c r="I52">
        <v>2019</v>
      </c>
      <c r="J52">
        <f t="shared" si="0"/>
        <v>5280</v>
      </c>
    </row>
    <row r="53" spans="1:10" x14ac:dyDescent="0.25">
      <c r="A53" t="s">
        <v>18</v>
      </c>
      <c r="B53" t="s">
        <v>10</v>
      </c>
      <c r="C53">
        <v>274</v>
      </c>
      <c r="D53">
        <v>5</v>
      </c>
      <c r="E53">
        <v>2</v>
      </c>
      <c r="F53" s="1">
        <v>43800</v>
      </c>
      <c r="G53">
        <v>12</v>
      </c>
      <c r="H53" t="s">
        <v>20</v>
      </c>
      <c r="I53">
        <v>2019</v>
      </c>
      <c r="J53">
        <f t="shared" si="0"/>
        <v>1370</v>
      </c>
    </row>
    <row r="54" spans="1:10" x14ac:dyDescent="0.25">
      <c r="A54" t="s">
        <v>12</v>
      </c>
      <c r="B54" t="s">
        <v>10</v>
      </c>
      <c r="C54">
        <v>1138</v>
      </c>
      <c r="D54">
        <v>5</v>
      </c>
      <c r="E54">
        <v>2</v>
      </c>
      <c r="F54" s="1">
        <v>43800</v>
      </c>
      <c r="G54">
        <v>12</v>
      </c>
      <c r="H54" t="s">
        <v>20</v>
      </c>
      <c r="I54">
        <v>2019</v>
      </c>
      <c r="J54">
        <f t="shared" si="0"/>
        <v>5690</v>
      </c>
    </row>
    <row r="55" spans="1:10" x14ac:dyDescent="0.25">
      <c r="A55" t="s">
        <v>14</v>
      </c>
      <c r="B55" t="s">
        <v>10</v>
      </c>
      <c r="C55">
        <v>1372</v>
      </c>
      <c r="D55">
        <v>5</v>
      </c>
      <c r="E55">
        <v>2</v>
      </c>
      <c r="F55" s="1">
        <v>43466</v>
      </c>
      <c r="G55">
        <v>1</v>
      </c>
      <c r="H55" t="s">
        <v>22</v>
      </c>
      <c r="I55">
        <v>2019</v>
      </c>
      <c r="J55">
        <f t="shared" si="0"/>
        <v>6860</v>
      </c>
    </row>
    <row r="56" spans="1:10" x14ac:dyDescent="0.25">
      <c r="A56" t="s">
        <v>12</v>
      </c>
      <c r="B56" t="s">
        <v>10</v>
      </c>
      <c r="C56">
        <v>2689</v>
      </c>
      <c r="D56">
        <v>5</v>
      </c>
      <c r="E56">
        <v>2</v>
      </c>
      <c r="F56" s="1">
        <v>43739</v>
      </c>
      <c r="G56">
        <v>10</v>
      </c>
      <c r="H56" t="s">
        <v>19</v>
      </c>
      <c r="I56">
        <v>2019</v>
      </c>
      <c r="J56">
        <f t="shared" si="0"/>
        <v>13445</v>
      </c>
    </row>
    <row r="57" spans="1:10" x14ac:dyDescent="0.25">
      <c r="A57" t="s">
        <v>9</v>
      </c>
      <c r="B57" t="s">
        <v>10</v>
      </c>
      <c r="C57">
        <v>2431</v>
      </c>
      <c r="D57">
        <v>5</v>
      </c>
      <c r="E57">
        <v>2</v>
      </c>
      <c r="F57" s="1">
        <v>43800</v>
      </c>
      <c r="G57">
        <v>12</v>
      </c>
      <c r="H57" t="s">
        <v>20</v>
      </c>
      <c r="I57">
        <v>2019</v>
      </c>
      <c r="J57">
        <f t="shared" si="0"/>
        <v>12155</v>
      </c>
    </row>
    <row r="58" spans="1:10" x14ac:dyDescent="0.25">
      <c r="A58" t="s">
        <v>21</v>
      </c>
      <c r="B58" t="s">
        <v>10</v>
      </c>
      <c r="C58">
        <v>1303</v>
      </c>
      <c r="D58">
        <v>5</v>
      </c>
      <c r="E58">
        <v>2</v>
      </c>
      <c r="F58" s="1">
        <v>43497</v>
      </c>
      <c r="G58">
        <v>2</v>
      </c>
      <c r="H58" t="s">
        <v>11</v>
      </c>
      <c r="I58">
        <v>2019</v>
      </c>
      <c r="J58">
        <f t="shared" si="0"/>
        <v>6515</v>
      </c>
    </row>
    <row r="59" spans="1:10" x14ac:dyDescent="0.25">
      <c r="A59" t="s">
        <v>18</v>
      </c>
      <c r="B59" t="s">
        <v>10</v>
      </c>
      <c r="C59">
        <v>2992</v>
      </c>
      <c r="D59">
        <v>5</v>
      </c>
      <c r="E59">
        <v>2</v>
      </c>
      <c r="F59" s="1">
        <v>43525</v>
      </c>
      <c r="G59">
        <v>3</v>
      </c>
      <c r="H59" t="s">
        <v>26</v>
      </c>
      <c r="I59">
        <v>2019</v>
      </c>
      <c r="J59">
        <f t="shared" si="0"/>
        <v>14960</v>
      </c>
    </row>
    <row r="60" spans="1:10" x14ac:dyDescent="0.25">
      <c r="A60" t="s">
        <v>21</v>
      </c>
      <c r="B60" t="s">
        <v>10</v>
      </c>
      <c r="C60">
        <v>2385</v>
      </c>
      <c r="D60">
        <v>5</v>
      </c>
      <c r="E60">
        <v>2</v>
      </c>
      <c r="F60" s="1">
        <v>43525</v>
      </c>
      <c r="G60">
        <v>3</v>
      </c>
      <c r="H60" t="s">
        <v>26</v>
      </c>
      <c r="I60">
        <v>2019</v>
      </c>
      <c r="J60">
        <f t="shared" si="0"/>
        <v>11925</v>
      </c>
    </row>
    <row r="61" spans="1:10" x14ac:dyDescent="0.25">
      <c r="A61" t="s">
        <v>12</v>
      </c>
      <c r="B61" t="s">
        <v>10</v>
      </c>
      <c r="C61">
        <v>1607</v>
      </c>
      <c r="D61">
        <v>5</v>
      </c>
      <c r="E61">
        <v>2</v>
      </c>
      <c r="F61" s="1">
        <v>43556</v>
      </c>
      <c r="G61">
        <v>4</v>
      </c>
      <c r="H61" t="s">
        <v>24</v>
      </c>
      <c r="I61">
        <v>2019</v>
      </c>
      <c r="J61">
        <f t="shared" si="0"/>
        <v>8035</v>
      </c>
    </row>
    <row r="62" spans="1:10" x14ac:dyDescent="0.25">
      <c r="A62" t="s">
        <v>18</v>
      </c>
      <c r="B62" t="s">
        <v>10</v>
      </c>
      <c r="C62">
        <v>2327</v>
      </c>
      <c r="D62">
        <v>5</v>
      </c>
      <c r="E62">
        <v>2</v>
      </c>
      <c r="F62" s="1">
        <v>43586</v>
      </c>
      <c r="G62">
        <v>5</v>
      </c>
      <c r="H62" t="s">
        <v>23</v>
      </c>
      <c r="I62">
        <v>2019</v>
      </c>
      <c r="J62">
        <f t="shared" si="0"/>
        <v>11635</v>
      </c>
    </row>
    <row r="63" spans="1:10" x14ac:dyDescent="0.25">
      <c r="A63" t="s">
        <v>18</v>
      </c>
      <c r="B63" t="s">
        <v>10</v>
      </c>
      <c r="C63">
        <v>991</v>
      </c>
      <c r="D63">
        <v>5</v>
      </c>
      <c r="E63">
        <v>2</v>
      </c>
      <c r="F63" s="1">
        <v>43617</v>
      </c>
      <c r="G63">
        <v>6</v>
      </c>
      <c r="H63" t="s">
        <v>13</v>
      </c>
      <c r="I63">
        <v>2019</v>
      </c>
      <c r="J63">
        <f t="shared" si="0"/>
        <v>4955</v>
      </c>
    </row>
    <row r="64" spans="1:10" x14ac:dyDescent="0.25">
      <c r="A64" t="s">
        <v>18</v>
      </c>
      <c r="B64" t="s">
        <v>10</v>
      </c>
      <c r="C64">
        <v>602</v>
      </c>
      <c r="D64">
        <v>5</v>
      </c>
      <c r="E64">
        <v>2</v>
      </c>
      <c r="F64" s="1">
        <v>43617</v>
      </c>
      <c r="G64">
        <v>6</v>
      </c>
      <c r="H64" t="s">
        <v>13</v>
      </c>
      <c r="I64">
        <v>2019</v>
      </c>
      <c r="J64">
        <f t="shared" si="0"/>
        <v>3010</v>
      </c>
    </row>
    <row r="65" spans="1:10" x14ac:dyDescent="0.25">
      <c r="A65" t="s">
        <v>21</v>
      </c>
      <c r="B65" t="s">
        <v>10</v>
      </c>
      <c r="C65">
        <v>2620</v>
      </c>
      <c r="D65">
        <v>5</v>
      </c>
      <c r="E65">
        <v>2</v>
      </c>
      <c r="F65" s="1">
        <v>43709</v>
      </c>
      <c r="G65">
        <v>9</v>
      </c>
      <c r="H65" t="s">
        <v>17</v>
      </c>
      <c r="I65">
        <v>2019</v>
      </c>
      <c r="J65">
        <f t="shared" si="0"/>
        <v>13100</v>
      </c>
    </row>
    <row r="66" spans="1:10" x14ac:dyDescent="0.25">
      <c r="A66" t="s">
        <v>18</v>
      </c>
      <c r="B66" t="s">
        <v>10</v>
      </c>
      <c r="C66">
        <v>861</v>
      </c>
      <c r="D66">
        <v>5</v>
      </c>
      <c r="E66">
        <v>2</v>
      </c>
      <c r="F66" s="1">
        <v>43739</v>
      </c>
      <c r="G66">
        <v>10</v>
      </c>
      <c r="H66" t="s">
        <v>19</v>
      </c>
      <c r="I66">
        <v>2019</v>
      </c>
      <c r="J66">
        <f t="shared" si="0"/>
        <v>4305</v>
      </c>
    </row>
    <row r="67" spans="1:10" x14ac:dyDescent="0.25">
      <c r="A67" t="s">
        <v>18</v>
      </c>
      <c r="B67" t="s">
        <v>10</v>
      </c>
      <c r="C67">
        <v>2663</v>
      </c>
      <c r="D67">
        <v>5</v>
      </c>
      <c r="E67">
        <v>2</v>
      </c>
      <c r="F67" s="1">
        <v>43800</v>
      </c>
      <c r="G67">
        <v>12</v>
      </c>
      <c r="H67" t="s">
        <v>20</v>
      </c>
      <c r="I67">
        <v>2019</v>
      </c>
      <c r="J67">
        <f t="shared" ref="J67:J130" si="1">C67*D67</f>
        <v>13315</v>
      </c>
    </row>
    <row r="68" spans="1:10" x14ac:dyDescent="0.25">
      <c r="A68" t="s">
        <v>21</v>
      </c>
      <c r="B68" t="s">
        <v>10</v>
      </c>
      <c r="C68">
        <v>3801</v>
      </c>
      <c r="D68">
        <v>5</v>
      </c>
      <c r="E68">
        <v>2</v>
      </c>
      <c r="F68" s="1">
        <v>43556</v>
      </c>
      <c r="G68">
        <v>4</v>
      </c>
      <c r="H68" t="s">
        <v>24</v>
      </c>
      <c r="I68">
        <v>2019</v>
      </c>
      <c r="J68">
        <f t="shared" si="1"/>
        <v>19005</v>
      </c>
    </row>
    <row r="69" spans="1:10" x14ac:dyDescent="0.25">
      <c r="A69" t="s">
        <v>21</v>
      </c>
      <c r="B69" t="s">
        <v>10</v>
      </c>
      <c r="C69">
        <v>1496</v>
      </c>
      <c r="D69">
        <v>5</v>
      </c>
      <c r="E69">
        <v>2</v>
      </c>
      <c r="F69" s="1">
        <v>43617</v>
      </c>
      <c r="G69">
        <v>6</v>
      </c>
      <c r="H69" t="s">
        <v>13</v>
      </c>
      <c r="I69">
        <v>2019</v>
      </c>
      <c r="J69">
        <f t="shared" si="1"/>
        <v>7480</v>
      </c>
    </row>
    <row r="70" spans="1:10" x14ac:dyDescent="0.25">
      <c r="A70" t="s">
        <v>18</v>
      </c>
      <c r="B70" t="s">
        <v>10</v>
      </c>
      <c r="C70">
        <v>2198</v>
      </c>
      <c r="D70">
        <v>5</v>
      </c>
      <c r="E70">
        <v>2</v>
      </c>
      <c r="F70" s="1">
        <v>43678</v>
      </c>
      <c r="G70">
        <v>8</v>
      </c>
      <c r="H70" t="s">
        <v>16</v>
      </c>
      <c r="I70">
        <v>2019</v>
      </c>
      <c r="J70">
        <f t="shared" si="1"/>
        <v>10990</v>
      </c>
    </row>
    <row r="71" spans="1:10" x14ac:dyDescent="0.25">
      <c r="A71" t="s">
        <v>14</v>
      </c>
      <c r="B71" t="s">
        <v>10</v>
      </c>
      <c r="C71">
        <v>1743</v>
      </c>
      <c r="D71">
        <v>5</v>
      </c>
      <c r="E71">
        <v>2</v>
      </c>
      <c r="F71" s="1">
        <v>43678</v>
      </c>
      <c r="G71">
        <v>8</v>
      </c>
      <c r="H71" t="s">
        <v>16</v>
      </c>
      <c r="I71">
        <v>2019</v>
      </c>
      <c r="J71">
        <f t="shared" si="1"/>
        <v>8715</v>
      </c>
    </row>
    <row r="72" spans="1:10" x14ac:dyDescent="0.25">
      <c r="A72" t="s">
        <v>18</v>
      </c>
      <c r="B72" t="s">
        <v>10</v>
      </c>
      <c r="C72">
        <v>1153</v>
      </c>
      <c r="D72">
        <v>5</v>
      </c>
      <c r="E72">
        <v>2</v>
      </c>
      <c r="F72" s="1">
        <v>43739</v>
      </c>
      <c r="G72">
        <v>10</v>
      </c>
      <c r="H72" t="s">
        <v>19</v>
      </c>
      <c r="I72">
        <v>2019</v>
      </c>
      <c r="J72">
        <f t="shared" si="1"/>
        <v>5765</v>
      </c>
    </row>
    <row r="73" spans="1:10" x14ac:dyDescent="0.25">
      <c r="A73" t="s">
        <v>9</v>
      </c>
      <c r="B73" t="s">
        <v>10</v>
      </c>
      <c r="C73">
        <v>1702</v>
      </c>
      <c r="D73">
        <v>5</v>
      </c>
      <c r="E73">
        <v>2</v>
      </c>
      <c r="F73" s="1">
        <v>43586</v>
      </c>
      <c r="G73">
        <v>5</v>
      </c>
      <c r="H73" t="s">
        <v>23</v>
      </c>
      <c r="I73">
        <v>2019</v>
      </c>
      <c r="J73">
        <f t="shared" si="1"/>
        <v>8510</v>
      </c>
    </row>
    <row r="74" spans="1:10" x14ac:dyDescent="0.25">
      <c r="A74" t="s">
        <v>21</v>
      </c>
      <c r="B74" t="s">
        <v>10</v>
      </c>
      <c r="C74">
        <v>448</v>
      </c>
      <c r="D74">
        <v>5</v>
      </c>
      <c r="E74">
        <v>2</v>
      </c>
      <c r="F74" s="1">
        <v>43617</v>
      </c>
      <c r="G74">
        <v>6</v>
      </c>
      <c r="H74" t="s">
        <v>13</v>
      </c>
      <c r="I74">
        <v>2019</v>
      </c>
      <c r="J74">
        <f t="shared" si="1"/>
        <v>2240</v>
      </c>
    </row>
    <row r="75" spans="1:10" x14ac:dyDescent="0.25">
      <c r="A75" t="s">
        <v>14</v>
      </c>
      <c r="B75" t="s">
        <v>10</v>
      </c>
      <c r="C75">
        <v>3513</v>
      </c>
      <c r="D75">
        <v>5</v>
      </c>
      <c r="E75">
        <v>2</v>
      </c>
      <c r="F75" s="1">
        <v>43647</v>
      </c>
      <c r="G75">
        <v>7</v>
      </c>
      <c r="H75" t="s">
        <v>15</v>
      </c>
      <c r="I75">
        <v>2019</v>
      </c>
      <c r="J75">
        <f t="shared" si="1"/>
        <v>17565</v>
      </c>
    </row>
    <row r="76" spans="1:10" x14ac:dyDescent="0.25">
      <c r="A76" t="s">
        <v>21</v>
      </c>
      <c r="B76" t="s">
        <v>10</v>
      </c>
      <c r="C76">
        <v>2101</v>
      </c>
      <c r="D76">
        <v>5</v>
      </c>
      <c r="E76">
        <v>2</v>
      </c>
      <c r="F76" s="1">
        <v>43678</v>
      </c>
      <c r="G76">
        <v>8</v>
      </c>
      <c r="H76" t="s">
        <v>16</v>
      </c>
      <c r="I76">
        <v>2019</v>
      </c>
      <c r="J76">
        <f t="shared" si="1"/>
        <v>10505</v>
      </c>
    </row>
    <row r="77" spans="1:10" x14ac:dyDescent="0.25">
      <c r="A77" t="s">
        <v>21</v>
      </c>
      <c r="B77" t="s">
        <v>10</v>
      </c>
      <c r="C77">
        <v>1535</v>
      </c>
      <c r="D77">
        <v>5</v>
      </c>
      <c r="E77">
        <v>2</v>
      </c>
      <c r="F77" s="1">
        <v>43709</v>
      </c>
      <c r="G77">
        <v>9</v>
      </c>
      <c r="H77" t="s">
        <v>17</v>
      </c>
      <c r="I77">
        <v>2019</v>
      </c>
      <c r="J77">
        <f t="shared" si="1"/>
        <v>7675</v>
      </c>
    </row>
    <row r="78" spans="1:10" x14ac:dyDescent="0.25">
      <c r="A78" t="s">
        <v>9</v>
      </c>
      <c r="B78" t="s">
        <v>10</v>
      </c>
      <c r="C78">
        <v>257</v>
      </c>
      <c r="D78">
        <v>5</v>
      </c>
      <c r="E78">
        <v>2</v>
      </c>
      <c r="F78" s="1">
        <v>43586</v>
      </c>
      <c r="G78">
        <v>5</v>
      </c>
      <c r="H78" t="s">
        <v>23</v>
      </c>
      <c r="I78">
        <v>2019</v>
      </c>
      <c r="J78">
        <f t="shared" si="1"/>
        <v>1285</v>
      </c>
    </row>
    <row r="79" spans="1:10" x14ac:dyDescent="0.25">
      <c r="A79" t="s">
        <v>12</v>
      </c>
      <c r="B79" t="s">
        <v>10</v>
      </c>
      <c r="C79">
        <v>1114</v>
      </c>
      <c r="D79">
        <v>5</v>
      </c>
      <c r="E79">
        <v>2</v>
      </c>
      <c r="F79" s="1">
        <v>43525</v>
      </c>
      <c r="G79">
        <v>3</v>
      </c>
      <c r="H79" t="s">
        <v>26</v>
      </c>
      <c r="I79">
        <v>2019</v>
      </c>
      <c r="J79">
        <f t="shared" si="1"/>
        <v>5570</v>
      </c>
    </row>
    <row r="80" spans="1:10" x14ac:dyDescent="0.25">
      <c r="A80" t="s">
        <v>14</v>
      </c>
      <c r="B80" t="s">
        <v>10</v>
      </c>
      <c r="C80">
        <v>1259</v>
      </c>
      <c r="D80">
        <v>5</v>
      </c>
      <c r="E80">
        <v>2</v>
      </c>
      <c r="F80" s="1">
        <v>43556</v>
      </c>
      <c r="G80">
        <v>4</v>
      </c>
      <c r="H80" t="s">
        <v>24</v>
      </c>
      <c r="I80">
        <v>2019</v>
      </c>
      <c r="J80">
        <f t="shared" si="1"/>
        <v>6295</v>
      </c>
    </row>
    <row r="81" spans="1:10" x14ac:dyDescent="0.25">
      <c r="A81" t="s">
        <v>14</v>
      </c>
      <c r="B81" t="s">
        <v>10</v>
      </c>
      <c r="C81">
        <v>1095</v>
      </c>
      <c r="D81">
        <v>5</v>
      </c>
      <c r="E81">
        <v>2</v>
      </c>
      <c r="F81" s="1">
        <v>43586</v>
      </c>
      <c r="G81">
        <v>5</v>
      </c>
      <c r="H81" t="s">
        <v>23</v>
      </c>
      <c r="I81">
        <v>2019</v>
      </c>
      <c r="J81">
        <f t="shared" si="1"/>
        <v>5475</v>
      </c>
    </row>
    <row r="82" spans="1:10" x14ac:dyDescent="0.25">
      <c r="A82" t="s">
        <v>14</v>
      </c>
      <c r="B82" t="s">
        <v>10</v>
      </c>
      <c r="C82">
        <v>1366</v>
      </c>
      <c r="D82">
        <v>5</v>
      </c>
      <c r="E82">
        <v>2</v>
      </c>
      <c r="F82" s="1">
        <v>43617</v>
      </c>
      <c r="G82">
        <v>6</v>
      </c>
      <c r="H82" t="s">
        <v>13</v>
      </c>
      <c r="I82">
        <v>2019</v>
      </c>
      <c r="J82">
        <f t="shared" si="1"/>
        <v>6830</v>
      </c>
    </row>
    <row r="83" spans="1:10" x14ac:dyDescent="0.25">
      <c r="A83" t="s">
        <v>12</v>
      </c>
      <c r="B83" t="s">
        <v>10</v>
      </c>
      <c r="C83">
        <v>2460</v>
      </c>
      <c r="D83">
        <v>5</v>
      </c>
      <c r="E83">
        <v>2</v>
      </c>
      <c r="F83" s="1">
        <v>43617</v>
      </c>
      <c r="G83">
        <v>6</v>
      </c>
      <c r="H83" t="s">
        <v>13</v>
      </c>
      <c r="I83">
        <v>2019</v>
      </c>
      <c r="J83">
        <f t="shared" si="1"/>
        <v>12300</v>
      </c>
    </row>
    <row r="84" spans="1:10" x14ac:dyDescent="0.25">
      <c r="A84" t="s">
        <v>18</v>
      </c>
      <c r="B84" t="s">
        <v>10</v>
      </c>
      <c r="C84">
        <v>678</v>
      </c>
      <c r="D84">
        <v>5</v>
      </c>
      <c r="E84">
        <v>2</v>
      </c>
      <c r="F84" s="1">
        <v>43678</v>
      </c>
      <c r="G84">
        <v>8</v>
      </c>
      <c r="H84" t="s">
        <v>16</v>
      </c>
      <c r="I84">
        <v>2019</v>
      </c>
      <c r="J84">
        <f t="shared" si="1"/>
        <v>3390</v>
      </c>
    </row>
    <row r="85" spans="1:10" x14ac:dyDescent="0.25">
      <c r="A85" t="s">
        <v>14</v>
      </c>
      <c r="B85" t="s">
        <v>10</v>
      </c>
      <c r="C85">
        <v>1598</v>
      </c>
      <c r="D85">
        <v>5</v>
      </c>
      <c r="E85">
        <v>2</v>
      </c>
      <c r="F85" s="1">
        <v>43678</v>
      </c>
      <c r="G85">
        <v>8</v>
      </c>
      <c r="H85" t="s">
        <v>16</v>
      </c>
      <c r="I85">
        <v>2019</v>
      </c>
      <c r="J85">
        <f t="shared" si="1"/>
        <v>7990</v>
      </c>
    </row>
    <row r="86" spans="1:10" x14ac:dyDescent="0.25">
      <c r="A86" t="s">
        <v>14</v>
      </c>
      <c r="B86" t="s">
        <v>10</v>
      </c>
      <c r="C86">
        <v>1934</v>
      </c>
      <c r="D86">
        <v>5</v>
      </c>
      <c r="E86">
        <v>2</v>
      </c>
      <c r="F86" s="1">
        <v>43709</v>
      </c>
      <c r="G86">
        <v>9</v>
      </c>
      <c r="H86" t="s">
        <v>17</v>
      </c>
      <c r="I86">
        <v>2019</v>
      </c>
      <c r="J86">
        <f t="shared" si="1"/>
        <v>9670</v>
      </c>
    </row>
    <row r="87" spans="1:10" x14ac:dyDescent="0.25">
      <c r="A87" t="s">
        <v>12</v>
      </c>
      <c r="B87" t="s">
        <v>10</v>
      </c>
      <c r="C87">
        <v>2993</v>
      </c>
      <c r="D87">
        <v>5</v>
      </c>
      <c r="E87">
        <v>2</v>
      </c>
      <c r="F87" s="1">
        <v>43709</v>
      </c>
      <c r="G87">
        <v>9</v>
      </c>
      <c r="H87" t="s">
        <v>17</v>
      </c>
      <c r="I87">
        <v>2019</v>
      </c>
      <c r="J87">
        <f t="shared" si="1"/>
        <v>14965</v>
      </c>
    </row>
    <row r="88" spans="1:10" x14ac:dyDescent="0.25">
      <c r="A88" t="s">
        <v>12</v>
      </c>
      <c r="B88" t="s">
        <v>10</v>
      </c>
      <c r="C88">
        <v>1362</v>
      </c>
      <c r="D88">
        <v>5</v>
      </c>
      <c r="E88">
        <v>2</v>
      </c>
      <c r="F88" s="1">
        <v>43800</v>
      </c>
      <c r="G88">
        <v>12</v>
      </c>
      <c r="H88" t="s">
        <v>20</v>
      </c>
      <c r="I88">
        <v>2019</v>
      </c>
      <c r="J88">
        <f t="shared" si="1"/>
        <v>6810</v>
      </c>
    </row>
    <row r="89" spans="1:10" x14ac:dyDescent="0.25">
      <c r="A89" t="s">
        <v>12</v>
      </c>
      <c r="B89" t="s">
        <v>10</v>
      </c>
      <c r="C89">
        <v>2565</v>
      </c>
      <c r="D89">
        <v>5</v>
      </c>
      <c r="E89">
        <v>2</v>
      </c>
      <c r="F89" s="1">
        <v>43466</v>
      </c>
      <c r="G89">
        <v>1</v>
      </c>
      <c r="H89" t="s">
        <v>22</v>
      </c>
      <c r="I89">
        <v>2019</v>
      </c>
      <c r="J89">
        <f t="shared" si="1"/>
        <v>12825</v>
      </c>
    </row>
    <row r="90" spans="1:10" x14ac:dyDescent="0.25">
      <c r="A90" t="s">
        <v>12</v>
      </c>
      <c r="B90" t="s">
        <v>10</v>
      </c>
      <c r="C90">
        <v>2417</v>
      </c>
      <c r="D90">
        <v>5</v>
      </c>
      <c r="E90">
        <v>2</v>
      </c>
      <c r="F90" s="1">
        <v>43466</v>
      </c>
      <c r="G90">
        <v>1</v>
      </c>
      <c r="H90" t="s">
        <v>22</v>
      </c>
      <c r="I90">
        <v>2019</v>
      </c>
      <c r="J90">
        <f t="shared" si="1"/>
        <v>12085</v>
      </c>
    </row>
    <row r="91" spans="1:10" x14ac:dyDescent="0.25">
      <c r="A91" t="s">
        <v>18</v>
      </c>
      <c r="B91" t="s">
        <v>10</v>
      </c>
      <c r="C91">
        <v>3675</v>
      </c>
      <c r="D91">
        <v>5</v>
      </c>
      <c r="E91">
        <v>2</v>
      </c>
      <c r="F91" s="1">
        <v>43556</v>
      </c>
      <c r="G91">
        <v>4</v>
      </c>
      <c r="H91" t="s">
        <v>24</v>
      </c>
      <c r="I91">
        <v>2019</v>
      </c>
      <c r="J91">
        <f t="shared" si="1"/>
        <v>18375</v>
      </c>
    </row>
    <row r="92" spans="1:10" x14ac:dyDescent="0.25">
      <c r="A92" t="s">
        <v>9</v>
      </c>
      <c r="B92" t="s">
        <v>10</v>
      </c>
      <c r="C92">
        <v>1094</v>
      </c>
      <c r="D92">
        <v>5</v>
      </c>
      <c r="E92">
        <v>2</v>
      </c>
      <c r="F92" s="1">
        <v>43617</v>
      </c>
      <c r="G92">
        <v>6</v>
      </c>
      <c r="H92" t="s">
        <v>13</v>
      </c>
      <c r="I92">
        <v>2019</v>
      </c>
      <c r="J92">
        <f t="shared" si="1"/>
        <v>5470</v>
      </c>
    </row>
    <row r="93" spans="1:10" x14ac:dyDescent="0.25">
      <c r="A93" t="s">
        <v>21</v>
      </c>
      <c r="B93" t="s">
        <v>10</v>
      </c>
      <c r="C93">
        <v>1227</v>
      </c>
      <c r="D93">
        <v>5</v>
      </c>
      <c r="E93">
        <v>2</v>
      </c>
      <c r="F93" s="1">
        <v>43739</v>
      </c>
      <c r="G93">
        <v>10</v>
      </c>
      <c r="H93" t="s">
        <v>19</v>
      </c>
      <c r="I93">
        <v>2019</v>
      </c>
      <c r="J93">
        <f t="shared" si="1"/>
        <v>6135</v>
      </c>
    </row>
    <row r="94" spans="1:10" x14ac:dyDescent="0.25">
      <c r="A94" t="s">
        <v>21</v>
      </c>
      <c r="B94" t="s">
        <v>10</v>
      </c>
      <c r="C94">
        <v>1324</v>
      </c>
      <c r="D94">
        <v>5</v>
      </c>
      <c r="E94">
        <v>2</v>
      </c>
      <c r="F94" s="1">
        <v>43770</v>
      </c>
      <c r="G94">
        <v>11</v>
      </c>
      <c r="H94" t="s">
        <v>25</v>
      </c>
      <c r="I94">
        <v>2019</v>
      </c>
      <c r="J94">
        <f t="shared" si="1"/>
        <v>6620</v>
      </c>
    </row>
    <row r="95" spans="1:10" x14ac:dyDescent="0.25">
      <c r="A95" t="s">
        <v>18</v>
      </c>
      <c r="B95" t="s">
        <v>10</v>
      </c>
      <c r="C95">
        <v>2797</v>
      </c>
      <c r="D95">
        <v>5</v>
      </c>
      <c r="E95">
        <v>2</v>
      </c>
      <c r="F95" s="1">
        <v>43800</v>
      </c>
      <c r="G95">
        <v>12</v>
      </c>
      <c r="H95" t="s">
        <v>20</v>
      </c>
      <c r="I95">
        <v>2019</v>
      </c>
      <c r="J95">
        <f t="shared" si="1"/>
        <v>13985</v>
      </c>
    </row>
    <row r="96" spans="1:10" x14ac:dyDescent="0.25">
      <c r="A96" t="s">
        <v>18</v>
      </c>
      <c r="B96" t="s">
        <v>10</v>
      </c>
      <c r="C96">
        <v>973</v>
      </c>
      <c r="D96">
        <v>5</v>
      </c>
      <c r="E96">
        <v>2</v>
      </c>
      <c r="F96" s="1">
        <v>43525</v>
      </c>
      <c r="G96">
        <v>3</v>
      </c>
      <c r="H96" t="s">
        <v>26</v>
      </c>
      <c r="I96">
        <v>2019</v>
      </c>
      <c r="J96">
        <f t="shared" si="1"/>
        <v>4865</v>
      </c>
    </row>
    <row r="97" spans="1:10" x14ac:dyDescent="0.25">
      <c r="A97" t="s">
        <v>12</v>
      </c>
      <c r="B97" t="s">
        <v>10</v>
      </c>
      <c r="C97">
        <v>1038</v>
      </c>
      <c r="D97">
        <v>5</v>
      </c>
      <c r="E97">
        <v>2</v>
      </c>
      <c r="F97" s="1">
        <v>43617</v>
      </c>
      <c r="G97">
        <v>6</v>
      </c>
      <c r="H97" t="s">
        <v>13</v>
      </c>
      <c r="I97">
        <v>2019</v>
      </c>
      <c r="J97">
        <f t="shared" si="1"/>
        <v>5190</v>
      </c>
    </row>
    <row r="98" spans="1:10" x14ac:dyDescent="0.25">
      <c r="A98" t="s">
        <v>14</v>
      </c>
      <c r="B98" t="s">
        <v>10</v>
      </c>
      <c r="C98">
        <v>360</v>
      </c>
      <c r="D98">
        <v>5</v>
      </c>
      <c r="E98">
        <v>2</v>
      </c>
      <c r="F98" s="1">
        <v>43739</v>
      </c>
      <c r="G98">
        <v>10</v>
      </c>
      <c r="H98" t="s">
        <v>19</v>
      </c>
      <c r="I98">
        <v>2019</v>
      </c>
      <c r="J98">
        <f t="shared" si="1"/>
        <v>1800</v>
      </c>
    </row>
    <row r="99" spans="1:10" x14ac:dyDescent="0.25">
      <c r="A99" t="s">
        <v>21</v>
      </c>
      <c r="B99" t="s">
        <v>10</v>
      </c>
      <c r="C99">
        <v>1954</v>
      </c>
      <c r="D99">
        <v>5</v>
      </c>
      <c r="E99">
        <v>2</v>
      </c>
      <c r="F99" s="1">
        <v>43525</v>
      </c>
      <c r="G99">
        <v>3</v>
      </c>
      <c r="H99" t="s">
        <v>26</v>
      </c>
      <c r="I99">
        <v>2019</v>
      </c>
      <c r="J99">
        <f t="shared" si="1"/>
        <v>9770</v>
      </c>
    </row>
    <row r="100" spans="1:10" x14ac:dyDescent="0.25">
      <c r="A100" t="s">
        <v>12</v>
      </c>
      <c r="B100" t="s">
        <v>10</v>
      </c>
      <c r="C100">
        <v>591</v>
      </c>
      <c r="D100">
        <v>5</v>
      </c>
      <c r="E100">
        <v>2</v>
      </c>
      <c r="F100" s="1">
        <v>43586</v>
      </c>
      <c r="G100">
        <v>5</v>
      </c>
      <c r="H100" t="s">
        <v>23</v>
      </c>
      <c r="I100">
        <v>2019</v>
      </c>
      <c r="J100">
        <f t="shared" si="1"/>
        <v>2955</v>
      </c>
    </row>
    <row r="101" spans="1:10" x14ac:dyDescent="0.25">
      <c r="A101" t="s">
        <v>14</v>
      </c>
      <c r="B101" t="s">
        <v>10</v>
      </c>
      <c r="C101">
        <v>241</v>
      </c>
      <c r="D101">
        <v>5</v>
      </c>
      <c r="E101">
        <v>2</v>
      </c>
      <c r="F101" s="1">
        <v>43739</v>
      </c>
      <c r="G101">
        <v>10</v>
      </c>
      <c r="H101" t="s">
        <v>19</v>
      </c>
      <c r="I101">
        <v>2019</v>
      </c>
      <c r="J101">
        <f t="shared" si="1"/>
        <v>1205</v>
      </c>
    </row>
    <row r="102" spans="1:10" x14ac:dyDescent="0.25">
      <c r="A102" t="s">
        <v>21</v>
      </c>
      <c r="B102" t="s">
        <v>10</v>
      </c>
      <c r="C102">
        <v>2532</v>
      </c>
      <c r="D102">
        <v>5</v>
      </c>
      <c r="E102">
        <v>2</v>
      </c>
      <c r="F102" s="1">
        <v>43556</v>
      </c>
      <c r="G102">
        <v>4</v>
      </c>
      <c r="H102" t="s">
        <v>24</v>
      </c>
      <c r="I102">
        <v>2019</v>
      </c>
      <c r="J102">
        <f t="shared" si="1"/>
        <v>12660</v>
      </c>
    </row>
    <row r="103" spans="1:10" x14ac:dyDescent="0.25">
      <c r="A103" t="s">
        <v>9</v>
      </c>
      <c r="B103" t="s">
        <v>10</v>
      </c>
      <c r="C103">
        <v>873</v>
      </c>
      <c r="D103">
        <v>5</v>
      </c>
      <c r="E103">
        <v>2</v>
      </c>
      <c r="F103" s="1">
        <v>43466</v>
      </c>
      <c r="G103">
        <v>1</v>
      </c>
      <c r="H103" t="s">
        <v>22</v>
      </c>
      <c r="I103">
        <v>2019</v>
      </c>
      <c r="J103">
        <f t="shared" si="1"/>
        <v>4365</v>
      </c>
    </row>
    <row r="104" spans="1:10" x14ac:dyDescent="0.25">
      <c r="A104" t="s">
        <v>12</v>
      </c>
      <c r="B104" t="s">
        <v>10</v>
      </c>
      <c r="C104">
        <v>1122</v>
      </c>
      <c r="D104">
        <v>5</v>
      </c>
      <c r="E104">
        <v>2</v>
      </c>
      <c r="F104" s="1">
        <v>43525</v>
      </c>
      <c r="G104">
        <v>3</v>
      </c>
      <c r="H104" t="s">
        <v>26</v>
      </c>
      <c r="I104">
        <v>2019</v>
      </c>
      <c r="J104">
        <f t="shared" si="1"/>
        <v>5610</v>
      </c>
    </row>
    <row r="105" spans="1:10" x14ac:dyDescent="0.25">
      <c r="A105" t="s">
        <v>9</v>
      </c>
      <c r="B105" t="s">
        <v>10</v>
      </c>
      <c r="C105">
        <v>2104.5</v>
      </c>
      <c r="D105">
        <v>5</v>
      </c>
      <c r="E105">
        <v>2</v>
      </c>
      <c r="F105" s="1">
        <v>43647</v>
      </c>
      <c r="G105">
        <v>7</v>
      </c>
      <c r="H105" t="s">
        <v>15</v>
      </c>
      <c r="I105">
        <v>2019</v>
      </c>
      <c r="J105">
        <f t="shared" si="1"/>
        <v>10522.5</v>
      </c>
    </row>
    <row r="106" spans="1:10" x14ac:dyDescent="0.25">
      <c r="A106" t="s">
        <v>9</v>
      </c>
      <c r="B106" t="s">
        <v>10</v>
      </c>
      <c r="C106">
        <v>4026</v>
      </c>
      <c r="D106">
        <v>5</v>
      </c>
      <c r="E106">
        <v>2</v>
      </c>
      <c r="F106" s="1">
        <v>43647</v>
      </c>
      <c r="G106">
        <v>7</v>
      </c>
      <c r="H106" t="s">
        <v>15</v>
      </c>
      <c r="I106">
        <v>2019</v>
      </c>
      <c r="J106">
        <f t="shared" si="1"/>
        <v>20130</v>
      </c>
    </row>
    <row r="107" spans="1:10" x14ac:dyDescent="0.25">
      <c r="A107" t="s">
        <v>21</v>
      </c>
      <c r="B107" t="s">
        <v>10</v>
      </c>
      <c r="C107">
        <v>2425.5</v>
      </c>
      <c r="D107">
        <v>5</v>
      </c>
      <c r="E107">
        <v>2</v>
      </c>
      <c r="F107" s="1">
        <v>43647</v>
      </c>
      <c r="G107">
        <v>7</v>
      </c>
      <c r="H107" t="s">
        <v>15</v>
      </c>
      <c r="I107">
        <v>2019</v>
      </c>
      <c r="J107">
        <f t="shared" si="1"/>
        <v>12127.5</v>
      </c>
    </row>
    <row r="108" spans="1:10" x14ac:dyDescent="0.25">
      <c r="A108" t="s">
        <v>9</v>
      </c>
      <c r="B108" t="s">
        <v>10</v>
      </c>
      <c r="C108">
        <v>2394</v>
      </c>
      <c r="D108">
        <v>5</v>
      </c>
      <c r="E108">
        <v>2</v>
      </c>
      <c r="F108" s="1">
        <v>43678</v>
      </c>
      <c r="G108">
        <v>8</v>
      </c>
      <c r="H108" t="s">
        <v>16</v>
      </c>
      <c r="I108">
        <v>2019</v>
      </c>
      <c r="J108">
        <f t="shared" si="1"/>
        <v>11970</v>
      </c>
    </row>
    <row r="109" spans="1:10" x14ac:dyDescent="0.25">
      <c r="A109" t="s">
        <v>12</v>
      </c>
      <c r="B109" t="s">
        <v>10</v>
      </c>
      <c r="C109">
        <v>1984</v>
      </c>
      <c r="D109">
        <v>5</v>
      </c>
      <c r="E109">
        <v>2</v>
      </c>
      <c r="F109" s="1">
        <v>43678</v>
      </c>
      <c r="G109">
        <v>8</v>
      </c>
      <c r="H109" t="s">
        <v>16</v>
      </c>
      <c r="I109">
        <v>2019</v>
      </c>
      <c r="J109">
        <f t="shared" si="1"/>
        <v>9920</v>
      </c>
    </row>
    <row r="110" spans="1:10" x14ac:dyDescent="0.25">
      <c r="A110" t="s">
        <v>21</v>
      </c>
      <c r="B110" t="s">
        <v>10</v>
      </c>
      <c r="C110">
        <v>2441</v>
      </c>
      <c r="D110">
        <v>5</v>
      </c>
      <c r="E110">
        <v>2</v>
      </c>
      <c r="F110" s="1">
        <v>43739</v>
      </c>
      <c r="G110">
        <v>10</v>
      </c>
      <c r="H110" t="s">
        <v>19</v>
      </c>
      <c r="I110">
        <v>2019</v>
      </c>
      <c r="J110">
        <f t="shared" si="1"/>
        <v>12205</v>
      </c>
    </row>
    <row r="111" spans="1:10" x14ac:dyDescent="0.25">
      <c r="A111" t="s">
        <v>9</v>
      </c>
      <c r="B111" t="s">
        <v>10</v>
      </c>
      <c r="C111">
        <v>1366</v>
      </c>
      <c r="D111">
        <v>5</v>
      </c>
      <c r="E111">
        <v>2</v>
      </c>
      <c r="F111" s="1">
        <v>43770</v>
      </c>
      <c r="G111">
        <v>11</v>
      </c>
      <c r="H111" t="s">
        <v>25</v>
      </c>
      <c r="I111">
        <v>2019</v>
      </c>
      <c r="J111">
        <f t="shared" si="1"/>
        <v>6830</v>
      </c>
    </row>
    <row r="112" spans="1:10" x14ac:dyDescent="0.25">
      <c r="A112" t="s">
        <v>18</v>
      </c>
      <c r="B112" t="s">
        <v>10</v>
      </c>
      <c r="C112">
        <v>3495</v>
      </c>
      <c r="D112">
        <v>5</v>
      </c>
      <c r="E112">
        <v>2</v>
      </c>
      <c r="F112" s="1">
        <v>43466</v>
      </c>
      <c r="G112">
        <v>1</v>
      </c>
      <c r="H112" t="s">
        <v>22</v>
      </c>
      <c r="I112">
        <v>2019</v>
      </c>
      <c r="J112">
        <f t="shared" si="1"/>
        <v>17475</v>
      </c>
    </row>
    <row r="113" spans="1:10" x14ac:dyDescent="0.25">
      <c r="A113" t="s">
        <v>12</v>
      </c>
      <c r="B113" t="s">
        <v>10</v>
      </c>
      <c r="C113">
        <v>886</v>
      </c>
      <c r="D113">
        <v>5</v>
      </c>
      <c r="E113">
        <v>2</v>
      </c>
      <c r="F113" s="1">
        <v>43617</v>
      </c>
      <c r="G113">
        <v>6</v>
      </c>
      <c r="H113" t="s">
        <v>13</v>
      </c>
      <c r="I113">
        <v>2019</v>
      </c>
      <c r="J113">
        <f t="shared" si="1"/>
        <v>4430</v>
      </c>
    </row>
    <row r="114" spans="1:10" x14ac:dyDescent="0.25">
      <c r="A114" t="s">
        <v>12</v>
      </c>
      <c r="B114" t="s">
        <v>10</v>
      </c>
      <c r="C114">
        <v>2156</v>
      </c>
      <c r="D114">
        <v>5</v>
      </c>
      <c r="E114">
        <v>2</v>
      </c>
      <c r="F114" s="1">
        <v>43739</v>
      </c>
      <c r="G114">
        <v>10</v>
      </c>
      <c r="H114" t="s">
        <v>19</v>
      </c>
      <c r="I114">
        <v>2019</v>
      </c>
      <c r="J114">
        <f t="shared" si="1"/>
        <v>10780</v>
      </c>
    </row>
    <row r="115" spans="1:10" x14ac:dyDescent="0.25">
      <c r="A115" t="s">
        <v>12</v>
      </c>
      <c r="B115" t="s">
        <v>10</v>
      </c>
      <c r="C115">
        <v>905</v>
      </c>
      <c r="D115">
        <v>5</v>
      </c>
      <c r="E115">
        <v>2</v>
      </c>
      <c r="F115" s="1">
        <v>43739</v>
      </c>
      <c r="G115">
        <v>10</v>
      </c>
      <c r="H115" t="s">
        <v>19</v>
      </c>
      <c r="I115">
        <v>2019</v>
      </c>
      <c r="J115">
        <f t="shared" si="1"/>
        <v>4525</v>
      </c>
    </row>
    <row r="116" spans="1:10" x14ac:dyDescent="0.25">
      <c r="A116" t="s">
        <v>21</v>
      </c>
      <c r="B116" t="s">
        <v>10</v>
      </c>
      <c r="C116">
        <v>1594</v>
      </c>
      <c r="D116">
        <v>5</v>
      </c>
      <c r="E116">
        <v>2</v>
      </c>
      <c r="F116" s="1">
        <v>43770</v>
      </c>
      <c r="G116">
        <v>11</v>
      </c>
      <c r="H116" t="s">
        <v>25</v>
      </c>
      <c r="I116">
        <v>2019</v>
      </c>
      <c r="J116">
        <f t="shared" si="1"/>
        <v>7970</v>
      </c>
    </row>
    <row r="117" spans="1:10" x14ac:dyDescent="0.25">
      <c r="A117" t="s">
        <v>14</v>
      </c>
      <c r="B117" t="s">
        <v>10</v>
      </c>
      <c r="C117">
        <v>1359</v>
      </c>
      <c r="D117">
        <v>5</v>
      </c>
      <c r="E117">
        <v>2</v>
      </c>
      <c r="F117" s="1">
        <v>43770</v>
      </c>
      <c r="G117">
        <v>11</v>
      </c>
      <c r="H117" t="s">
        <v>25</v>
      </c>
      <c r="I117">
        <v>2019</v>
      </c>
      <c r="J117">
        <f t="shared" si="1"/>
        <v>6795</v>
      </c>
    </row>
    <row r="118" spans="1:10" x14ac:dyDescent="0.25">
      <c r="A118" t="s">
        <v>12</v>
      </c>
      <c r="B118" t="s">
        <v>10</v>
      </c>
      <c r="C118">
        <v>2150</v>
      </c>
      <c r="D118">
        <v>5</v>
      </c>
      <c r="E118">
        <v>2</v>
      </c>
      <c r="F118" s="1">
        <v>43770</v>
      </c>
      <c r="G118">
        <v>11</v>
      </c>
      <c r="H118" t="s">
        <v>25</v>
      </c>
      <c r="I118">
        <v>2019</v>
      </c>
      <c r="J118">
        <f t="shared" si="1"/>
        <v>10750</v>
      </c>
    </row>
    <row r="119" spans="1:10" x14ac:dyDescent="0.25">
      <c r="A119" t="s">
        <v>12</v>
      </c>
      <c r="B119" t="s">
        <v>10</v>
      </c>
      <c r="C119">
        <v>1197</v>
      </c>
      <c r="D119">
        <v>5</v>
      </c>
      <c r="E119">
        <v>2</v>
      </c>
      <c r="F119" s="1">
        <v>43770</v>
      </c>
      <c r="G119">
        <v>11</v>
      </c>
      <c r="H119" t="s">
        <v>25</v>
      </c>
      <c r="I119">
        <v>2019</v>
      </c>
      <c r="J119">
        <f t="shared" si="1"/>
        <v>5985</v>
      </c>
    </row>
    <row r="120" spans="1:10" x14ac:dyDescent="0.25">
      <c r="A120" t="s">
        <v>12</v>
      </c>
      <c r="B120" t="s">
        <v>10</v>
      </c>
      <c r="C120">
        <v>1233</v>
      </c>
      <c r="D120">
        <v>5</v>
      </c>
      <c r="E120">
        <v>2</v>
      </c>
      <c r="F120" s="1">
        <v>43800</v>
      </c>
      <c r="G120">
        <v>12</v>
      </c>
      <c r="H120" t="s">
        <v>20</v>
      </c>
      <c r="I120">
        <v>2019</v>
      </c>
      <c r="J120">
        <f t="shared" si="1"/>
        <v>6165</v>
      </c>
    </row>
    <row r="121" spans="1:10" x14ac:dyDescent="0.25">
      <c r="A121" t="s">
        <v>14</v>
      </c>
      <c r="B121" t="s">
        <v>10</v>
      </c>
      <c r="C121">
        <v>1531</v>
      </c>
      <c r="D121">
        <v>5</v>
      </c>
      <c r="E121">
        <v>2</v>
      </c>
      <c r="F121" s="1">
        <v>43800</v>
      </c>
      <c r="G121">
        <v>12</v>
      </c>
      <c r="H121" t="s">
        <v>20</v>
      </c>
      <c r="I121">
        <v>2019</v>
      </c>
      <c r="J121">
        <f t="shared" si="1"/>
        <v>7655</v>
      </c>
    </row>
    <row r="122" spans="1:10" x14ac:dyDescent="0.25">
      <c r="A122" t="s">
        <v>18</v>
      </c>
      <c r="B122" t="s">
        <v>10</v>
      </c>
      <c r="C122">
        <v>1438.5</v>
      </c>
      <c r="D122">
        <v>5</v>
      </c>
      <c r="E122">
        <v>2</v>
      </c>
      <c r="F122" s="1">
        <v>43466</v>
      </c>
      <c r="G122">
        <v>1</v>
      </c>
      <c r="H122" t="s">
        <v>22</v>
      </c>
      <c r="I122">
        <v>2019</v>
      </c>
      <c r="J122">
        <f t="shared" si="1"/>
        <v>7192.5</v>
      </c>
    </row>
    <row r="123" spans="1:10" x14ac:dyDescent="0.25">
      <c r="A123" t="s">
        <v>14</v>
      </c>
      <c r="B123" t="s">
        <v>10</v>
      </c>
      <c r="C123">
        <v>807</v>
      </c>
      <c r="D123">
        <v>5</v>
      </c>
      <c r="E123">
        <v>2</v>
      </c>
      <c r="F123" s="1">
        <v>43466</v>
      </c>
      <c r="G123">
        <v>1</v>
      </c>
      <c r="H123" t="s">
        <v>22</v>
      </c>
      <c r="I123">
        <v>2019</v>
      </c>
      <c r="J123">
        <f t="shared" si="1"/>
        <v>4035</v>
      </c>
    </row>
    <row r="124" spans="1:10" x14ac:dyDescent="0.25">
      <c r="A124" t="s">
        <v>18</v>
      </c>
      <c r="B124" t="s">
        <v>10</v>
      </c>
      <c r="C124">
        <v>2641</v>
      </c>
      <c r="D124">
        <v>5</v>
      </c>
      <c r="E124">
        <v>2</v>
      </c>
      <c r="F124" s="1">
        <v>43497</v>
      </c>
      <c r="G124">
        <v>2</v>
      </c>
      <c r="H124" t="s">
        <v>11</v>
      </c>
      <c r="I124">
        <v>2019</v>
      </c>
      <c r="J124">
        <f t="shared" si="1"/>
        <v>13205</v>
      </c>
    </row>
    <row r="125" spans="1:10" x14ac:dyDescent="0.25">
      <c r="A125" t="s">
        <v>14</v>
      </c>
      <c r="B125" t="s">
        <v>10</v>
      </c>
      <c r="C125">
        <v>2708</v>
      </c>
      <c r="D125">
        <v>5</v>
      </c>
      <c r="E125">
        <v>2</v>
      </c>
      <c r="F125" s="1">
        <v>43497</v>
      </c>
      <c r="G125">
        <v>2</v>
      </c>
      <c r="H125" t="s">
        <v>11</v>
      </c>
      <c r="I125">
        <v>2019</v>
      </c>
      <c r="J125">
        <f t="shared" si="1"/>
        <v>13540</v>
      </c>
    </row>
    <row r="126" spans="1:10" x14ac:dyDescent="0.25">
      <c r="A126" t="s">
        <v>9</v>
      </c>
      <c r="B126" t="s">
        <v>10</v>
      </c>
      <c r="C126">
        <v>2632</v>
      </c>
      <c r="D126">
        <v>5</v>
      </c>
      <c r="E126">
        <v>2</v>
      </c>
      <c r="F126" s="1">
        <v>43617</v>
      </c>
      <c r="G126">
        <v>6</v>
      </c>
      <c r="H126" t="s">
        <v>13</v>
      </c>
      <c r="I126">
        <v>2019</v>
      </c>
      <c r="J126">
        <f t="shared" si="1"/>
        <v>13160</v>
      </c>
    </row>
    <row r="127" spans="1:10" x14ac:dyDescent="0.25">
      <c r="A127" t="s">
        <v>9</v>
      </c>
      <c r="B127" t="s">
        <v>10</v>
      </c>
      <c r="C127">
        <v>1583</v>
      </c>
      <c r="D127">
        <v>5</v>
      </c>
      <c r="E127">
        <v>2</v>
      </c>
      <c r="F127" s="1">
        <v>43617</v>
      </c>
      <c r="G127">
        <v>6</v>
      </c>
      <c r="H127" t="s">
        <v>13</v>
      </c>
      <c r="I127">
        <v>2019</v>
      </c>
      <c r="J127">
        <f t="shared" si="1"/>
        <v>7915</v>
      </c>
    </row>
    <row r="128" spans="1:10" x14ac:dyDescent="0.25">
      <c r="A128" t="s">
        <v>12</v>
      </c>
      <c r="B128" t="s">
        <v>10</v>
      </c>
      <c r="C128">
        <v>571</v>
      </c>
      <c r="D128">
        <v>5</v>
      </c>
      <c r="E128">
        <v>2</v>
      </c>
      <c r="F128" s="1">
        <v>43647</v>
      </c>
      <c r="G128">
        <v>7</v>
      </c>
      <c r="H128" t="s">
        <v>15</v>
      </c>
      <c r="I128">
        <v>2019</v>
      </c>
      <c r="J128">
        <f t="shared" si="1"/>
        <v>2855</v>
      </c>
    </row>
    <row r="129" spans="1:10" x14ac:dyDescent="0.25">
      <c r="A129" t="s">
        <v>21</v>
      </c>
      <c r="B129" t="s">
        <v>10</v>
      </c>
      <c r="C129">
        <v>2696</v>
      </c>
      <c r="D129">
        <v>5</v>
      </c>
      <c r="E129">
        <v>2</v>
      </c>
      <c r="F129" s="1">
        <v>43678</v>
      </c>
      <c r="G129">
        <v>8</v>
      </c>
      <c r="H129" t="s">
        <v>16</v>
      </c>
      <c r="I129">
        <v>2019</v>
      </c>
      <c r="J129">
        <f t="shared" si="1"/>
        <v>13480</v>
      </c>
    </row>
    <row r="130" spans="1:10" x14ac:dyDescent="0.25">
      <c r="A130" t="s">
        <v>9</v>
      </c>
      <c r="B130" t="s">
        <v>10</v>
      </c>
      <c r="C130">
        <v>1565</v>
      </c>
      <c r="D130">
        <v>5</v>
      </c>
      <c r="E130">
        <v>2</v>
      </c>
      <c r="F130" s="1">
        <v>43739</v>
      </c>
      <c r="G130">
        <v>10</v>
      </c>
      <c r="H130" t="s">
        <v>19</v>
      </c>
      <c r="I130">
        <v>2019</v>
      </c>
      <c r="J130">
        <f t="shared" si="1"/>
        <v>7825</v>
      </c>
    </row>
    <row r="131" spans="1:10" x14ac:dyDescent="0.25">
      <c r="A131" t="s">
        <v>9</v>
      </c>
      <c r="B131" t="s">
        <v>10</v>
      </c>
      <c r="C131">
        <v>1249</v>
      </c>
      <c r="D131">
        <v>5</v>
      </c>
      <c r="E131">
        <v>2</v>
      </c>
      <c r="F131" s="1">
        <v>43739</v>
      </c>
      <c r="G131">
        <v>10</v>
      </c>
      <c r="H131" t="s">
        <v>19</v>
      </c>
      <c r="I131">
        <v>2019</v>
      </c>
      <c r="J131">
        <f t="shared" ref="J131:J194" si="2">C131*D131</f>
        <v>6245</v>
      </c>
    </row>
    <row r="132" spans="1:10" x14ac:dyDescent="0.25">
      <c r="A132" t="s">
        <v>14</v>
      </c>
      <c r="B132" t="s">
        <v>10</v>
      </c>
      <c r="C132">
        <v>357</v>
      </c>
      <c r="D132">
        <v>5</v>
      </c>
      <c r="E132">
        <v>2</v>
      </c>
      <c r="F132" s="1">
        <v>43770</v>
      </c>
      <c r="G132">
        <v>11</v>
      </c>
      <c r="H132" t="s">
        <v>25</v>
      </c>
      <c r="I132">
        <v>2019</v>
      </c>
      <c r="J132">
        <f t="shared" si="2"/>
        <v>1785</v>
      </c>
    </row>
    <row r="133" spans="1:10" x14ac:dyDescent="0.25">
      <c r="A133" t="s">
        <v>14</v>
      </c>
      <c r="B133" t="s">
        <v>10</v>
      </c>
      <c r="C133">
        <v>1013</v>
      </c>
      <c r="D133">
        <v>5</v>
      </c>
      <c r="E133">
        <v>2</v>
      </c>
      <c r="F133" s="1">
        <v>43800</v>
      </c>
      <c r="G133">
        <v>12</v>
      </c>
      <c r="H133" t="s">
        <v>20</v>
      </c>
      <c r="I133">
        <v>2019</v>
      </c>
      <c r="J133">
        <f t="shared" si="2"/>
        <v>5065</v>
      </c>
    </row>
    <row r="134" spans="1:10" x14ac:dyDescent="0.25">
      <c r="A134" t="s">
        <v>14</v>
      </c>
      <c r="B134" t="s">
        <v>10</v>
      </c>
      <c r="C134">
        <v>278</v>
      </c>
      <c r="D134">
        <v>5</v>
      </c>
      <c r="E134">
        <v>2</v>
      </c>
      <c r="F134" s="1">
        <v>43497</v>
      </c>
      <c r="G134">
        <v>2</v>
      </c>
      <c r="H134" t="s">
        <v>11</v>
      </c>
      <c r="I134">
        <v>2019</v>
      </c>
      <c r="J134">
        <f t="shared" si="2"/>
        <v>1390</v>
      </c>
    </row>
    <row r="135" spans="1:10" x14ac:dyDescent="0.25">
      <c r="A135" t="s">
        <v>9</v>
      </c>
      <c r="B135" t="s">
        <v>10</v>
      </c>
      <c r="C135">
        <v>2428</v>
      </c>
      <c r="D135">
        <v>5</v>
      </c>
      <c r="E135">
        <v>2</v>
      </c>
      <c r="F135" s="1">
        <v>43525</v>
      </c>
      <c r="G135">
        <v>3</v>
      </c>
      <c r="H135" t="s">
        <v>26</v>
      </c>
      <c r="I135">
        <v>2019</v>
      </c>
      <c r="J135">
        <f t="shared" si="2"/>
        <v>12140</v>
      </c>
    </row>
    <row r="136" spans="1:10" x14ac:dyDescent="0.25">
      <c r="A136" t="s">
        <v>18</v>
      </c>
      <c r="B136" t="s">
        <v>10</v>
      </c>
      <c r="C136">
        <v>1767</v>
      </c>
      <c r="D136">
        <v>5</v>
      </c>
      <c r="E136">
        <v>2</v>
      </c>
      <c r="F136" s="1">
        <v>43709</v>
      </c>
      <c r="G136">
        <v>9</v>
      </c>
      <c r="H136" t="s">
        <v>17</v>
      </c>
      <c r="I136">
        <v>2019</v>
      </c>
      <c r="J136">
        <f t="shared" si="2"/>
        <v>8835</v>
      </c>
    </row>
    <row r="137" spans="1:10" x14ac:dyDescent="0.25">
      <c r="A137" t="s">
        <v>21</v>
      </c>
      <c r="B137" t="s">
        <v>10</v>
      </c>
      <c r="C137">
        <v>1393</v>
      </c>
      <c r="D137">
        <v>5</v>
      </c>
      <c r="E137">
        <v>2</v>
      </c>
      <c r="F137" s="1">
        <v>43739</v>
      </c>
      <c r="G137">
        <v>10</v>
      </c>
      <c r="H137" t="s">
        <v>19</v>
      </c>
      <c r="I137">
        <v>2019</v>
      </c>
      <c r="J137">
        <f t="shared" si="2"/>
        <v>6965</v>
      </c>
    </row>
    <row r="138" spans="1:10" x14ac:dyDescent="0.25">
      <c r="A138" t="s">
        <v>12</v>
      </c>
      <c r="B138" t="s">
        <v>10</v>
      </c>
      <c r="C138">
        <v>260</v>
      </c>
      <c r="D138">
        <v>5</v>
      </c>
      <c r="E138">
        <v>2</v>
      </c>
      <c r="F138" s="1">
        <v>43497</v>
      </c>
      <c r="G138">
        <v>2</v>
      </c>
      <c r="H138" t="s">
        <v>11</v>
      </c>
      <c r="I138">
        <v>2019</v>
      </c>
      <c r="J138">
        <f t="shared" si="2"/>
        <v>1300</v>
      </c>
    </row>
    <row r="139" spans="1:10" x14ac:dyDescent="0.25">
      <c r="A139" t="s">
        <v>18</v>
      </c>
      <c r="B139" t="s">
        <v>10</v>
      </c>
      <c r="C139">
        <v>2914</v>
      </c>
      <c r="D139">
        <v>5</v>
      </c>
      <c r="E139">
        <v>2</v>
      </c>
      <c r="F139" s="1">
        <v>43739</v>
      </c>
      <c r="G139">
        <v>10</v>
      </c>
      <c r="H139" t="s">
        <v>19</v>
      </c>
      <c r="I139">
        <v>2019</v>
      </c>
      <c r="J139">
        <f t="shared" si="2"/>
        <v>14570</v>
      </c>
    </row>
    <row r="140" spans="1:10" x14ac:dyDescent="0.25">
      <c r="A140" t="s">
        <v>21</v>
      </c>
      <c r="B140" t="s">
        <v>10</v>
      </c>
      <c r="C140">
        <v>1731</v>
      </c>
      <c r="D140">
        <v>5</v>
      </c>
      <c r="E140">
        <v>2</v>
      </c>
      <c r="F140" s="1">
        <v>43739</v>
      </c>
      <c r="G140">
        <v>10</v>
      </c>
      <c r="H140" t="s">
        <v>19</v>
      </c>
      <c r="I140">
        <v>2019</v>
      </c>
      <c r="J140">
        <f t="shared" si="2"/>
        <v>8655</v>
      </c>
    </row>
    <row r="141" spans="1:10" x14ac:dyDescent="0.25">
      <c r="A141" t="s">
        <v>9</v>
      </c>
      <c r="B141" t="s">
        <v>10</v>
      </c>
      <c r="C141">
        <v>700</v>
      </c>
      <c r="D141">
        <v>5</v>
      </c>
      <c r="E141">
        <v>2</v>
      </c>
      <c r="F141" s="1">
        <v>43770</v>
      </c>
      <c r="G141">
        <v>11</v>
      </c>
      <c r="H141" t="s">
        <v>25</v>
      </c>
      <c r="I141">
        <v>2019</v>
      </c>
      <c r="J141">
        <f t="shared" si="2"/>
        <v>3500</v>
      </c>
    </row>
    <row r="142" spans="1:10" x14ac:dyDescent="0.25">
      <c r="A142" t="s">
        <v>18</v>
      </c>
      <c r="B142" t="s">
        <v>10</v>
      </c>
      <c r="C142">
        <v>1177</v>
      </c>
      <c r="D142">
        <v>5</v>
      </c>
      <c r="E142">
        <v>2</v>
      </c>
      <c r="F142" s="1">
        <v>43770</v>
      </c>
      <c r="G142">
        <v>11</v>
      </c>
      <c r="H142" t="s">
        <v>25</v>
      </c>
      <c r="I142">
        <v>2019</v>
      </c>
      <c r="J142">
        <f t="shared" si="2"/>
        <v>5885</v>
      </c>
    </row>
    <row r="143" spans="1:10" x14ac:dyDescent="0.25">
      <c r="A143" t="s">
        <v>14</v>
      </c>
      <c r="B143" t="s">
        <v>10</v>
      </c>
      <c r="C143">
        <v>1158</v>
      </c>
      <c r="D143">
        <v>5</v>
      </c>
      <c r="E143">
        <v>2</v>
      </c>
      <c r="F143" s="1">
        <v>43525</v>
      </c>
      <c r="G143">
        <v>3</v>
      </c>
      <c r="H143" t="s">
        <v>26</v>
      </c>
      <c r="I143">
        <v>2019</v>
      </c>
      <c r="J143">
        <f t="shared" si="2"/>
        <v>5790</v>
      </c>
    </row>
    <row r="144" spans="1:10" x14ac:dyDescent="0.25">
      <c r="A144" t="s">
        <v>9</v>
      </c>
      <c r="B144" t="s">
        <v>10</v>
      </c>
      <c r="C144">
        <v>1614</v>
      </c>
      <c r="D144">
        <v>5</v>
      </c>
      <c r="E144">
        <v>2</v>
      </c>
      <c r="F144" s="1">
        <v>43556</v>
      </c>
      <c r="G144">
        <v>4</v>
      </c>
      <c r="H144" t="s">
        <v>24</v>
      </c>
      <c r="I144">
        <v>2019</v>
      </c>
      <c r="J144">
        <f t="shared" si="2"/>
        <v>8070</v>
      </c>
    </row>
    <row r="145" spans="1:10" x14ac:dyDescent="0.25">
      <c r="A145" t="s">
        <v>12</v>
      </c>
      <c r="B145" t="s">
        <v>10</v>
      </c>
      <c r="C145">
        <v>2535</v>
      </c>
      <c r="D145">
        <v>5</v>
      </c>
      <c r="E145">
        <v>2</v>
      </c>
      <c r="F145" s="1">
        <v>43556</v>
      </c>
      <c r="G145">
        <v>4</v>
      </c>
      <c r="H145" t="s">
        <v>24</v>
      </c>
      <c r="I145">
        <v>2019</v>
      </c>
      <c r="J145">
        <f t="shared" si="2"/>
        <v>12675</v>
      </c>
    </row>
    <row r="146" spans="1:10" x14ac:dyDescent="0.25">
      <c r="A146" t="s">
        <v>12</v>
      </c>
      <c r="B146" t="s">
        <v>10</v>
      </c>
      <c r="C146">
        <v>2851</v>
      </c>
      <c r="D146">
        <v>5</v>
      </c>
      <c r="E146">
        <v>2</v>
      </c>
      <c r="F146" s="1">
        <v>43586</v>
      </c>
      <c r="G146">
        <v>5</v>
      </c>
      <c r="H146" t="s">
        <v>23</v>
      </c>
      <c r="I146">
        <v>2019</v>
      </c>
      <c r="J146">
        <f t="shared" si="2"/>
        <v>14255</v>
      </c>
    </row>
    <row r="147" spans="1:10" x14ac:dyDescent="0.25">
      <c r="A147" t="s">
        <v>9</v>
      </c>
      <c r="B147" t="s">
        <v>10</v>
      </c>
      <c r="C147">
        <v>2559</v>
      </c>
      <c r="D147">
        <v>5</v>
      </c>
      <c r="E147">
        <v>2</v>
      </c>
      <c r="F147" s="1">
        <v>43678</v>
      </c>
      <c r="G147">
        <v>8</v>
      </c>
      <c r="H147" t="s">
        <v>16</v>
      </c>
      <c r="I147">
        <v>2019</v>
      </c>
      <c r="J147">
        <f t="shared" si="2"/>
        <v>12795</v>
      </c>
    </row>
    <row r="148" spans="1:10" x14ac:dyDescent="0.25">
      <c r="A148" t="s">
        <v>14</v>
      </c>
      <c r="B148" t="s">
        <v>10</v>
      </c>
      <c r="C148">
        <v>1085</v>
      </c>
      <c r="D148">
        <v>5</v>
      </c>
      <c r="E148">
        <v>2</v>
      </c>
      <c r="F148" s="1">
        <v>43739</v>
      </c>
      <c r="G148">
        <v>10</v>
      </c>
      <c r="H148" t="s">
        <v>19</v>
      </c>
      <c r="I148">
        <v>2019</v>
      </c>
      <c r="J148">
        <f t="shared" si="2"/>
        <v>5425</v>
      </c>
    </row>
    <row r="149" spans="1:10" x14ac:dyDescent="0.25">
      <c r="A149" t="s">
        <v>14</v>
      </c>
      <c r="B149" t="s">
        <v>10</v>
      </c>
      <c r="C149">
        <v>1175</v>
      </c>
      <c r="D149">
        <v>5</v>
      </c>
      <c r="E149">
        <v>2</v>
      </c>
      <c r="F149" s="1">
        <v>43739</v>
      </c>
      <c r="G149">
        <v>10</v>
      </c>
      <c r="H149" t="s">
        <v>19</v>
      </c>
      <c r="I149">
        <v>2019</v>
      </c>
      <c r="J149">
        <f t="shared" si="2"/>
        <v>5875</v>
      </c>
    </row>
    <row r="150" spans="1:10" x14ac:dyDescent="0.25">
      <c r="A150" t="s">
        <v>18</v>
      </c>
      <c r="B150" t="s">
        <v>10</v>
      </c>
      <c r="C150">
        <v>914</v>
      </c>
      <c r="D150">
        <v>5</v>
      </c>
      <c r="E150">
        <v>2</v>
      </c>
      <c r="F150" s="1">
        <v>43800</v>
      </c>
      <c r="G150">
        <v>12</v>
      </c>
      <c r="H150" t="s">
        <v>20</v>
      </c>
      <c r="I150">
        <v>2019</v>
      </c>
      <c r="J150">
        <f t="shared" si="2"/>
        <v>4570</v>
      </c>
    </row>
    <row r="151" spans="1:10" x14ac:dyDescent="0.25">
      <c r="A151" t="s">
        <v>21</v>
      </c>
      <c r="B151" t="s">
        <v>10</v>
      </c>
      <c r="C151">
        <v>293</v>
      </c>
      <c r="D151">
        <v>5</v>
      </c>
      <c r="E151">
        <v>2</v>
      </c>
      <c r="F151" s="1">
        <v>43800</v>
      </c>
      <c r="G151">
        <v>12</v>
      </c>
      <c r="H151" t="s">
        <v>20</v>
      </c>
      <c r="I151">
        <v>2019</v>
      </c>
      <c r="J151">
        <f t="shared" si="2"/>
        <v>1465</v>
      </c>
    </row>
    <row r="152" spans="1:10" x14ac:dyDescent="0.25">
      <c r="A152" t="s">
        <v>9</v>
      </c>
      <c r="B152" t="s">
        <v>10</v>
      </c>
      <c r="C152">
        <v>723</v>
      </c>
      <c r="D152">
        <v>5</v>
      </c>
      <c r="E152">
        <v>2</v>
      </c>
      <c r="F152" s="1">
        <v>43556</v>
      </c>
      <c r="G152">
        <v>4</v>
      </c>
      <c r="H152" t="s">
        <v>24</v>
      </c>
      <c r="I152">
        <v>2019</v>
      </c>
      <c r="J152">
        <f t="shared" si="2"/>
        <v>3615</v>
      </c>
    </row>
    <row r="153" spans="1:10" x14ac:dyDescent="0.25">
      <c r="A153" t="s">
        <v>14</v>
      </c>
      <c r="B153" t="s">
        <v>27</v>
      </c>
      <c r="C153">
        <v>921</v>
      </c>
      <c r="D153">
        <v>1</v>
      </c>
      <c r="E153">
        <v>0.2</v>
      </c>
      <c r="F153" s="1">
        <v>43525</v>
      </c>
      <c r="G153">
        <v>3</v>
      </c>
      <c r="H153" t="s">
        <v>26</v>
      </c>
      <c r="I153">
        <v>2019</v>
      </c>
      <c r="J153">
        <f t="shared" si="2"/>
        <v>921</v>
      </c>
    </row>
    <row r="154" spans="1:10" x14ac:dyDescent="0.25">
      <c r="A154" t="s">
        <v>9</v>
      </c>
      <c r="B154" t="s">
        <v>27</v>
      </c>
      <c r="C154">
        <v>2518</v>
      </c>
      <c r="D154">
        <v>1</v>
      </c>
      <c r="E154">
        <v>0.2</v>
      </c>
      <c r="F154" s="1">
        <v>43617</v>
      </c>
      <c r="G154">
        <v>6</v>
      </c>
      <c r="H154" t="s">
        <v>13</v>
      </c>
      <c r="I154">
        <v>2019</v>
      </c>
      <c r="J154">
        <f t="shared" si="2"/>
        <v>2518</v>
      </c>
    </row>
    <row r="155" spans="1:10" x14ac:dyDescent="0.25">
      <c r="A155" t="s">
        <v>21</v>
      </c>
      <c r="B155" t="s">
        <v>27</v>
      </c>
      <c r="C155">
        <v>1899</v>
      </c>
      <c r="D155">
        <v>1</v>
      </c>
      <c r="E155">
        <v>0.2</v>
      </c>
      <c r="F155" s="1">
        <v>43617</v>
      </c>
      <c r="G155">
        <v>6</v>
      </c>
      <c r="H155" t="s">
        <v>13</v>
      </c>
      <c r="I155">
        <v>2019</v>
      </c>
      <c r="J155">
        <f t="shared" si="2"/>
        <v>1899</v>
      </c>
    </row>
    <row r="156" spans="1:10" x14ac:dyDescent="0.25">
      <c r="A156" t="s">
        <v>14</v>
      </c>
      <c r="B156" t="s">
        <v>27</v>
      </c>
      <c r="C156">
        <v>1545</v>
      </c>
      <c r="D156">
        <v>1</v>
      </c>
      <c r="E156">
        <v>0.2</v>
      </c>
      <c r="F156" s="1">
        <v>43617</v>
      </c>
      <c r="G156">
        <v>6</v>
      </c>
      <c r="H156" t="s">
        <v>13</v>
      </c>
      <c r="I156">
        <v>2019</v>
      </c>
      <c r="J156">
        <f t="shared" si="2"/>
        <v>1545</v>
      </c>
    </row>
    <row r="157" spans="1:10" x14ac:dyDescent="0.25">
      <c r="A157" t="s">
        <v>12</v>
      </c>
      <c r="B157" t="s">
        <v>27</v>
      </c>
      <c r="C157">
        <v>2470</v>
      </c>
      <c r="D157">
        <v>1</v>
      </c>
      <c r="E157">
        <v>0.2</v>
      </c>
      <c r="F157" s="1">
        <v>43617</v>
      </c>
      <c r="G157">
        <v>6</v>
      </c>
      <c r="H157" t="s">
        <v>13</v>
      </c>
      <c r="I157">
        <v>2019</v>
      </c>
      <c r="J157">
        <f t="shared" si="2"/>
        <v>2470</v>
      </c>
    </row>
    <row r="158" spans="1:10" x14ac:dyDescent="0.25">
      <c r="A158" t="s">
        <v>9</v>
      </c>
      <c r="B158" t="s">
        <v>27</v>
      </c>
      <c r="C158">
        <v>2665.5</v>
      </c>
      <c r="D158">
        <v>1</v>
      </c>
      <c r="E158">
        <v>0.2</v>
      </c>
      <c r="F158" s="1">
        <v>43647</v>
      </c>
      <c r="G158">
        <v>7</v>
      </c>
      <c r="H158" t="s">
        <v>15</v>
      </c>
      <c r="I158">
        <v>2019</v>
      </c>
      <c r="J158">
        <f t="shared" si="2"/>
        <v>2665.5</v>
      </c>
    </row>
    <row r="159" spans="1:10" x14ac:dyDescent="0.25">
      <c r="A159" t="s">
        <v>12</v>
      </c>
      <c r="B159" t="s">
        <v>27</v>
      </c>
      <c r="C159">
        <v>958</v>
      </c>
      <c r="D159">
        <v>1</v>
      </c>
      <c r="E159">
        <v>0.2</v>
      </c>
      <c r="F159" s="1">
        <v>43678</v>
      </c>
      <c r="G159">
        <v>8</v>
      </c>
      <c r="H159" t="s">
        <v>16</v>
      </c>
      <c r="I159">
        <v>2019</v>
      </c>
      <c r="J159">
        <f t="shared" si="2"/>
        <v>958</v>
      </c>
    </row>
    <row r="160" spans="1:10" x14ac:dyDescent="0.25">
      <c r="A160" t="s">
        <v>14</v>
      </c>
      <c r="B160" t="s">
        <v>27</v>
      </c>
      <c r="C160">
        <v>2146</v>
      </c>
      <c r="D160">
        <v>1</v>
      </c>
      <c r="E160">
        <v>0.2</v>
      </c>
      <c r="F160" s="1">
        <v>43709</v>
      </c>
      <c r="G160">
        <v>9</v>
      </c>
      <c r="H160" t="s">
        <v>17</v>
      </c>
      <c r="I160">
        <v>2019</v>
      </c>
      <c r="J160">
        <f t="shared" si="2"/>
        <v>2146</v>
      </c>
    </row>
    <row r="161" spans="1:10" x14ac:dyDescent="0.25">
      <c r="A161" t="s">
        <v>18</v>
      </c>
      <c r="B161" t="s">
        <v>27</v>
      </c>
      <c r="C161">
        <v>615</v>
      </c>
      <c r="D161">
        <v>1</v>
      </c>
      <c r="E161">
        <v>0.2</v>
      </c>
      <c r="F161" s="1">
        <v>43800</v>
      </c>
      <c r="G161">
        <v>12</v>
      </c>
      <c r="H161" t="s">
        <v>20</v>
      </c>
      <c r="I161">
        <v>2019</v>
      </c>
      <c r="J161">
        <f t="shared" si="2"/>
        <v>615</v>
      </c>
    </row>
    <row r="162" spans="1:10" x14ac:dyDescent="0.25">
      <c r="A162" t="s">
        <v>12</v>
      </c>
      <c r="B162" t="s">
        <v>27</v>
      </c>
      <c r="C162">
        <v>2214</v>
      </c>
      <c r="D162">
        <v>1</v>
      </c>
      <c r="E162">
        <v>0.2</v>
      </c>
      <c r="F162" s="1">
        <v>43525</v>
      </c>
      <c r="G162">
        <v>3</v>
      </c>
      <c r="H162" t="s">
        <v>26</v>
      </c>
      <c r="I162">
        <v>2019</v>
      </c>
      <c r="J162">
        <f t="shared" si="2"/>
        <v>2214</v>
      </c>
    </row>
    <row r="163" spans="1:10" x14ac:dyDescent="0.25">
      <c r="A163" t="s">
        <v>18</v>
      </c>
      <c r="B163" t="s">
        <v>27</v>
      </c>
      <c r="C163">
        <v>2301</v>
      </c>
      <c r="D163">
        <v>1</v>
      </c>
      <c r="E163">
        <v>0.2</v>
      </c>
      <c r="F163" s="1">
        <v>43556</v>
      </c>
      <c r="G163">
        <v>4</v>
      </c>
      <c r="H163" t="s">
        <v>24</v>
      </c>
      <c r="I163">
        <v>2019</v>
      </c>
      <c r="J163">
        <f t="shared" si="2"/>
        <v>2301</v>
      </c>
    </row>
    <row r="164" spans="1:10" x14ac:dyDescent="0.25">
      <c r="A164" t="s">
        <v>21</v>
      </c>
      <c r="B164" t="s">
        <v>27</v>
      </c>
      <c r="C164">
        <v>1375.5</v>
      </c>
      <c r="D164">
        <v>1</v>
      </c>
      <c r="E164">
        <v>0.2</v>
      </c>
      <c r="F164" s="1">
        <v>43647</v>
      </c>
      <c r="G164">
        <v>7</v>
      </c>
      <c r="H164" t="s">
        <v>15</v>
      </c>
      <c r="I164">
        <v>2019</v>
      </c>
      <c r="J164">
        <f t="shared" si="2"/>
        <v>1375.5</v>
      </c>
    </row>
    <row r="165" spans="1:10" x14ac:dyDescent="0.25">
      <c r="A165" t="s">
        <v>9</v>
      </c>
      <c r="B165" t="s">
        <v>27</v>
      </c>
      <c r="C165">
        <v>1830</v>
      </c>
      <c r="D165">
        <v>1</v>
      </c>
      <c r="E165">
        <v>0.2</v>
      </c>
      <c r="F165" s="1">
        <v>43678</v>
      </c>
      <c r="G165">
        <v>8</v>
      </c>
      <c r="H165" t="s">
        <v>16</v>
      </c>
      <c r="I165">
        <v>2019</v>
      </c>
      <c r="J165">
        <f t="shared" si="2"/>
        <v>1830</v>
      </c>
    </row>
    <row r="166" spans="1:10" x14ac:dyDescent="0.25">
      <c r="A166" t="s">
        <v>18</v>
      </c>
      <c r="B166" t="s">
        <v>27</v>
      </c>
      <c r="C166">
        <v>1142</v>
      </c>
      <c r="D166">
        <v>1</v>
      </c>
      <c r="E166">
        <v>0.2</v>
      </c>
      <c r="F166" s="1">
        <v>43617</v>
      </c>
      <c r="G166">
        <v>6</v>
      </c>
      <c r="H166" t="s">
        <v>13</v>
      </c>
      <c r="I166">
        <v>2019</v>
      </c>
      <c r="J166">
        <f t="shared" si="2"/>
        <v>1142</v>
      </c>
    </row>
    <row r="167" spans="1:10" x14ac:dyDescent="0.25">
      <c r="A167" t="s">
        <v>18</v>
      </c>
      <c r="B167" t="s">
        <v>27</v>
      </c>
      <c r="C167">
        <v>1566</v>
      </c>
      <c r="D167">
        <v>1</v>
      </c>
      <c r="E167">
        <v>0.2</v>
      </c>
      <c r="F167" s="1">
        <v>43739</v>
      </c>
      <c r="G167">
        <v>10</v>
      </c>
      <c r="H167" t="s">
        <v>19</v>
      </c>
      <c r="I167">
        <v>2019</v>
      </c>
      <c r="J167">
        <f t="shared" si="2"/>
        <v>1566</v>
      </c>
    </row>
    <row r="168" spans="1:10" x14ac:dyDescent="0.25">
      <c r="A168" t="s">
        <v>12</v>
      </c>
      <c r="B168" t="s">
        <v>27</v>
      </c>
      <c r="C168">
        <v>690</v>
      </c>
      <c r="D168">
        <v>1</v>
      </c>
      <c r="E168">
        <v>0.2</v>
      </c>
      <c r="F168" s="1">
        <v>43770</v>
      </c>
      <c r="G168">
        <v>11</v>
      </c>
      <c r="H168" t="s">
        <v>25</v>
      </c>
      <c r="I168">
        <v>2019</v>
      </c>
      <c r="J168">
        <f t="shared" si="2"/>
        <v>690</v>
      </c>
    </row>
    <row r="169" spans="1:10" x14ac:dyDescent="0.25">
      <c r="A169" t="s">
        <v>14</v>
      </c>
      <c r="B169" t="s">
        <v>27</v>
      </c>
      <c r="C169">
        <v>1958</v>
      </c>
      <c r="D169">
        <v>1</v>
      </c>
      <c r="E169">
        <v>0.2</v>
      </c>
      <c r="F169" s="1">
        <v>43497</v>
      </c>
      <c r="G169">
        <v>2</v>
      </c>
      <c r="H169" t="s">
        <v>11</v>
      </c>
      <c r="I169">
        <v>2019</v>
      </c>
      <c r="J169">
        <f t="shared" si="2"/>
        <v>1958</v>
      </c>
    </row>
    <row r="170" spans="1:10" x14ac:dyDescent="0.25">
      <c r="A170" t="s">
        <v>21</v>
      </c>
      <c r="B170" t="s">
        <v>27</v>
      </c>
      <c r="C170">
        <v>1901</v>
      </c>
      <c r="D170">
        <v>1</v>
      </c>
      <c r="E170">
        <v>0.2</v>
      </c>
      <c r="F170" s="1">
        <v>43617</v>
      </c>
      <c r="G170">
        <v>6</v>
      </c>
      <c r="H170" t="s">
        <v>13</v>
      </c>
      <c r="I170">
        <v>2019</v>
      </c>
      <c r="J170">
        <f t="shared" si="2"/>
        <v>1901</v>
      </c>
    </row>
    <row r="171" spans="1:10" x14ac:dyDescent="0.25">
      <c r="A171" t="s">
        <v>21</v>
      </c>
      <c r="B171" t="s">
        <v>27</v>
      </c>
      <c r="C171">
        <v>544</v>
      </c>
      <c r="D171">
        <v>1</v>
      </c>
      <c r="E171">
        <v>0.2</v>
      </c>
      <c r="F171" s="1">
        <v>43709</v>
      </c>
      <c r="G171">
        <v>9</v>
      </c>
      <c r="H171" t="s">
        <v>17</v>
      </c>
      <c r="I171">
        <v>2019</v>
      </c>
      <c r="J171">
        <f t="shared" si="2"/>
        <v>544</v>
      </c>
    </row>
    <row r="172" spans="1:10" x14ac:dyDescent="0.25">
      <c r="A172" t="s">
        <v>21</v>
      </c>
      <c r="B172" t="s">
        <v>27</v>
      </c>
      <c r="C172">
        <v>1287</v>
      </c>
      <c r="D172">
        <v>1</v>
      </c>
      <c r="E172">
        <v>0.2</v>
      </c>
      <c r="F172" s="1">
        <v>43800</v>
      </c>
      <c r="G172">
        <v>12</v>
      </c>
      <c r="H172" t="s">
        <v>20</v>
      </c>
      <c r="I172">
        <v>2019</v>
      </c>
      <c r="J172">
        <f t="shared" si="2"/>
        <v>1287</v>
      </c>
    </row>
    <row r="173" spans="1:10" x14ac:dyDescent="0.25">
      <c r="A173" t="s">
        <v>14</v>
      </c>
      <c r="B173" t="s">
        <v>27</v>
      </c>
      <c r="C173">
        <v>1706</v>
      </c>
      <c r="D173">
        <v>1</v>
      </c>
      <c r="E173">
        <v>0.2</v>
      </c>
      <c r="F173" s="1">
        <v>43800</v>
      </c>
      <c r="G173">
        <v>12</v>
      </c>
      <c r="H173" t="s">
        <v>20</v>
      </c>
      <c r="I173">
        <v>2019</v>
      </c>
      <c r="J173">
        <f t="shared" si="2"/>
        <v>1706</v>
      </c>
    </row>
    <row r="174" spans="1:10" x14ac:dyDescent="0.25">
      <c r="A174" t="s">
        <v>12</v>
      </c>
      <c r="B174" t="s">
        <v>27</v>
      </c>
      <c r="C174">
        <v>2031</v>
      </c>
      <c r="D174">
        <v>1</v>
      </c>
      <c r="E174">
        <v>0.2</v>
      </c>
      <c r="F174" s="1">
        <v>43739</v>
      </c>
      <c r="G174">
        <v>10</v>
      </c>
      <c r="H174" t="s">
        <v>19</v>
      </c>
      <c r="I174">
        <v>2019</v>
      </c>
      <c r="J174">
        <f t="shared" si="2"/>
        <v>2031</v>
      </c>
    </row>
    <row r="175" spans="1:10" x14ac:dyDescent="0.25">
      <c r="A175" t="s">
        <v>9</v>
      </c>
      <c r="B175" t="s">
        <v>27</v>
      </c>
      <c r="C175">
        <v>1967</v>
      </c>
      <c r="D175">
        <v>1</v>
      </c>
      <c r="E175">
        <v>0.2</v>
      </c>
      <c r="F175" s="1">
        <v>43525</v>
      </c>
      <c r="G175">
        <v>3</v>
      </c>
      <c r="H175" t="s">
        <v>26</v>
      </c>
      <c r="I175">
        <v>2019</v>
      </c>
      <c r="J175">
        <f t="shared" si="2"/>
        <v>1967</v>
      </c>
    </row>
    <row r="176" spans="1:10" x14ac:dyDescent="0.25">
      <c r="A176" t="s">
        <v>14</v>
      </c>
      <c r="B176" t="s">
        <v>27</v>
      </c>
      <c r="C176">
        <v>1859</v>
      </c>
      <c r="D176">
        <v>1</v>
      </c>
      <c r="E176">
        <v>0.2</v>
      </c>
      <c r="F176" s="1">
        <v>43678</v>
      </c>
      <c r="G176">
        <v>8</v>
      </c>
      <c r="H176" t="s">
        <v>16</v>
      </c>
      <c r="I176">
        <v>2019</v>
      </c>
      <c r="J176">
        <f t="shared" si="2"/>
        <v>1859</v>
      </c>
    </row>
    <row r="177" spans="1:10" x14ac:dyDescent="0.25">
      <c r="A177" t="s">
        <v>14</v>
      </c>
      <c r="B177" t="s">
        <v>27</v>
      </c>
      <c r="C177">
        <v>2021</v>
      </c>
      <c r="D177">
        <v>1</v>
      </c>
      <c r="E177">
        <v>0.2</v>
      </c>
      <c r="F177" s="1">
        <v>43739</v>
      </c>
      <c r="G177">
        <v>10</v>
      </c>
      <c r="H177" t="s">
        <v>19</v>
      </c>
      <c r="I177">
        <v>2019</v>
      </c>
      <c r="J177">
        <f t="shared" si="2"/>
        <v>2021</v>
      </c>
    </row>
    <row r="178" spans="1:10" x14ac:dyDescent="0.25">
      <c r="A178" t="s">
        <v>12</v>
      </c>
      <c r="B178" t="s">
        <v>27</v>
      </c>
      <c r="C178">
        <v>1138</v>
      </c>
      <c r="D178">
        <v>1</v>
      </c>
      <c r="E178">
        <v>0.2</v>
      </c>
      <c r="F178" s="1">
        <v>43800</v>
      </c>
      <c r="G178">
        <v>12</v>
      </c>
      <c r="H178" t="s">
        <v>20</v>
      </c>
      <c r="I178">
        <v>2019</v>
      </c>
      <c r="J178">
        <f t="shared" si="2"/>
        <v>1138</v>
      </c>
    </row>
    <row r="179" spans="1:10" x14ac:dyDescent="0.25">
      <c r="A179" t="s">
        <v>21</v>
      </c>
      <c r="B179" t="s">
        <v>27</v>
      </c>
      <c r="C179">
        <v>1384.5</v>
      </c>
      <c r="D179">
        <v>1</v>
      </c>
      <c r="E179">
        <v>0.2</v>
      </c>
      <c r="F179" s="1">
        <v>43466</v>
      </c>
      <c r="G179">
        <v>1</v>
      </c>
      <c r="H179" t="s">
        <v>22</v>
      </c>
      <c r="I179">
        <v>2019</v>
      </c>
      <c r="J179">
        <f t="shared" si="2"/>
        <v>1384.5</v>
      </c>
    </row>
    <row r="180" spans="1:10" x14ac:dyDescent="0.25">
      <c r="A180" t="s">
        <v>18</v>
      </c>
      <c r="B180" t="s">
        <v>27</v>
      </c>
      <c r="C180">
        <v>3627</v>
      </c>
      <c r="D180">
        <v>1</v>
      </c>
      <c r="E180">
        <v>0.2</v>
      </c>
      <c r="F180" s="1">
        <v>43647</v>
      </c>
      <c r="G180">
        <v>7</v>
      </c>
      <c r="H180" t="s">
        <v>15</v>
      </c>
      <c r="I180">
        <v>2019</v>
      </c>
      <c r="J180">
        <f t="shared" si="2"/>
        <v>3627</v>
      </c>
    </row>
    <row r="181" spans="1:10" x14ac:dyDescent="0.25">
      <c r="A181" t="s">
        <v>14</v>
      </c>
      <c r="B181" t="s">
        <v>27</v>
      </c>
      <c r="C181">
        <v>2342</v>
      </c>
      <c r="D181">
        <v>1</v>
      </c>
      <c r="E181">
        <v>0.2</v>
      </c>
      <c r="F181" s="1">
        <v>43770</v>
      </c>
      <c r="G181">
        <v>11</v>
      </c>
      <c r="H181" t="s">
        <v>25</v>
      </c>
      <c r="I181">
        <v>2019</v>
      </c>
      <c r="J181">
        <f t="shared" si="2"/>
        <v>2342</v>
      </c>
    </row>
    <row r="182" spans="1:10" x14ac:dyDescent="0.25">
      <c r="A182" t="s">
        <v>12</v>
      </c>
      <c r="B182" t="s">
        <v>27</v>
      </c>
      <c r="C182">
        <v>980</v>
      </c>
      <c r="D182">
        <v>1</v>
      </c>
      <c r="E182">
        <v>0.2</v>
      </c>
      <c r="F182" s="1">
        <v>43556</v>
      </c>
      <c r="G182">
        <v>4</v>
      </c>
      <c r="H182" t="s">
        <v>24</v>
      </c>
      <c r="I182">
        <v>2019</v>
      </c>
      <c r="J182">
        <f t="shared" si="2"/>
        <v>980</v>
      </c>
    </row>
    <row r="183" spans="1:10" x14ac:dyDescent="0.25">
      <c r="A183" t="s">
        <v>14</v>
      </c>
      <c r="B183" t="s">
        <v>27</v>
      </c>
      <c r="C183">
        <v>1460</v>
      </c>
      <c r="D183">
        <v>1</v>
      </c>
      <c r="E183">
        <v>0.2</v>
      </c>
      <c r="F183" s="1">
        <v>43586</v>
      </c>
      <c r="G183">
        <v>5</v>
      </c>
      <c r="H183" t="s">
        <v>23</v>
      </c>
      <c r="I183">
        <v>2019</v>
      </c>
      <c r="J183">
        <f t="shared" si="2"/>
        <v>1460</v>
      </c>
    </row>
    <row r="184" spans="1:10" x14ac:dyDescent="0.25">
      <c r="A184" t="s">
        <v>18</v>
      </c>
      <c r="B184" t="s">
        <v>27</v>
      </c>
      <c r="C184">
        <v>2723</v>
      </c>
      <c r="D184">
        <v>1</v>
      </c>
      <c r="E184">
        <v>0.2</v>
      </c>
      <c r="F184" s="1">
        <v>43770</v>
      </c>
      <c r="G184">
        <v>11</v>
      </c>
      <c r="H184" t="s">
        <v>25</v>
      </c>
      <c r="I184">
        <v>2019</v>
      </c>
      <c r="J184">
        <f t="shared" si="2"/>
        <v>2723</v>
      </c>
    </row>
    <row r="185" spans="1:10" x14ac:dyDescent="0.25">
      <c r="A185" t="s">
        <v>12</v>
      </c>
      <c r="B185" t="s">
        <v>27</v>
      </c>
      <c r="C185">
        <v>2340</v>
      </c>
      <c r="D185">
        <v>1</v>
      </c>
      <c r="E185">
        <v>0.2</v>
      </c>
      <c r="F185" s="1">
        <v>43466</v>
      </c>
      <c r="G185">
        <v>1</v>
      </c>
      <c r="H185" t="s">
        <v>22</v>
      </c>
      <c r="I185">
        <v>2019</v>
      </c>
      <c r="J185">
        <f t="shared" si="2"/>
        <v>2340</v>
      </c>
    </row>
    <row r="186" spans="1:10" x14ac:dyDescent="0.25">
      <c r="A186" t="s">
        <v>21</v>
      </c>
      <c r="B186" t="s">
        <v>27</v>
      </c>
      <c r="C186">
        <v>2342</v>
      </c>
      <c r="D186">
        <v>1</v>
      </c>
      <c r="E186">
        <v>0.2</v>
      </c>
      <c r="F186" s="1">
        <v>43770</v>
      </c>
      <c r="G186">
        <v>11</v>
      </c>
      <c r="H186" t="s">
        <v>25</v>
      </c>
      <c r="I186">
        <v>2019</v>
      </c>
      <c r="J186">
        <f t="shared" si="2"/>
        <v>2342</v>
      </c>
    </row>
    <row r="187" spans="1:10" x14ac:dyDescent="0.25">
      <c r="A187" t="s">
        <v>21</v>
      </c>
      <c r="B187" t="s">
        <v>27</v>
      </c>
      <c r="C187">
        <v>1976</v>
      </c>
      <c r="D187">
        <v>1</v>
      </c>
      <c r="E187">
        <v>0.2</v>
      </c>
      <c r="F187" s="1">
        <v>43739</v>
      </c>
      <c r="G187">
        <v>10</v>
      </c>
      <c r="H187" t="s">
        <v>19</v>
      </c>
      <c r="I187">
        <v>2019</v>
      </c>
      <c r="J187">
        <f t="shared" si="2"/>
        <v>1976</v>
      </c>
    </row>
    <row r="188" spans="1:10" x14ac:dyDescent="0.25">
      <c r="A188" t="s">
        <v>21</v>
      </c>
      <c r="B188" t="s">
        <v>27</v>
      </c>
      <c r="C188">
        <v>2181</v>
      </c>
      <c r="D188">
        <v>1</v>
      </c>
      <c r="E188">
        <v>0.2</v>
      </c>
      <c r="F188" s="1">
        <v>43739</v>
      </c>
      <c r="G188">
        <v>10</v>
      </c>
      <c r="H188" t="s">
        <v>19</v>
      </c>
      <c r="I188">
        <v>2019</v>
      </c>
      <c r="J188">
        <f t="shared" si="2"/>
        <v>2181</v>
      </c>
    </row>
    <row r="189" spans="1:10" x14ac:dyDescent="0.25">
      <c r="A189" t="s">
        <v>9</v>
      </c>
      <c r="B189" t="s">
        <v>27</v>
      </c>
      <c r="C189">
        <v>488</v>
      </c>
      <c r="D189">
        <v>1</v>
      </c>
      <c r="E189">
        <v>0.2</v>
      </c>
      <c r="F189" s="1">
        <v>43497</v>
      </c>
      <c r="G189">
        <v>2</v>
      </c>
      <c r="H189" t="s">
        <v>11</v>
      </c>
      <c r="I189">
        <v>2019</v>
      </c>
      <c r="J189">
        <f t="shared" si="2"/>
        <v>488</v>
      </c>
    </row>
    <row r="190" spans="1:10" x14ac:dyDescent="0.25">
      <c r="A190" t="s">
        <v>18</v>
      </c>
      <c r="B190" t="s">
        <v>27</v>
      </c>
      <c r="C190">
        <v>1282</v>
      </c>
      <c r="D190">
        <v>1</v>
      </c>
      <c r="E190">
        <v>0.2</v>
      </c>
      <c r="F190" s="1">
        <v>43617</v>
      </c>
      <c r="G190">
        <v>6</v>
      </c>
      <c r="H190" t="s">
        <v>13</v>
      </c>
      <c r="I190">
        <v>2019</v>
      </c>
      <c r="J190">
        <f t="shared" si="2"/>
        <v>1282</v>
      </c>
    </row>
    <row r="191" spans="1:10" x14ac:dyDescent="0.25">
      <c r="A191" t="s">
        <v>21</v>
      </c>
      <c r="B191" t="s">
        <v>27</v>
      </c>
      <c r="C191">
        <v>2501</v>
      </c>
      <c r="D191">
        <v>1</v>
      </c>
      <c r="E191">
        <v>0.2</v>
      </c>
      <c r="F191" s="1">
        <v>43525</v>
      </c>
      <c r="G191">
        <v>3</v>
      </c>
      <c r="H191" t="s">
        <v>26</v>
      </c>
      <c r="I191">
        <v>2019</v>
      </c>
      <c r="J191">
        <f t="shared" si="2"/>
        <v>2501</v>
      </c>
    </row>
    <row r="192" spans="1:10" x14ac:dyDescent="0.25">
      <c r="A192" t="s">
        <v>9</v>
      </c>
      <c r="B192" t="s">
        <v>27</v>
      </c>
      <c r="C192">
        <v>708</v>
      </c>
      <c r="D192">
        <v>1</v>
      </c>
      <c r="E192">
        <v>0.2</v>
      </c>
      <c r="F192" s="1">
        <v>43617</v>
      </c>
      <c r="G192">
        <v>6</v>
      </c>
      <c r="H192" t="s">
        <v>13</v>
      </c>
      <c r="I192">
        <v>2019</v>
      </c>
      <c r="J192">
        <f t="shared" si="2"/>
        <v>708</v>
      </c>
    </row>
    <row r="193" spans="1:10" x14ac:dyDescent="0.25">
      <c r="A193" t="s">
        <v>14</v>
      </c>
      <c r="B193" t="s">
        <v>27</v>
      </c>
      <c r="C193">
        <v>645</v>
      </c>
      <c r="D193">
        <v>1</v>
      </c>
      <c r="E193">
        <v>0.2</v>
      </c>
      <c r="F193" s="1">
        <v>43647</v>
      </c>
      <c r="G193">
        <v>7</v>
      </c>
      <c r="H193" t="s">
        <v>15</v>
      </c>
      <c r="I193">
        <v>2019</v>
      </c>
      <c r="J193">
        <f t="shared" si="2"/>
        <v>645</v>
      </c>
    </row>
    <row r="194" spans="1:10" x14ac:dyDescent="0.25">
      <c r="A194" t="s">
        <v>21</v>
      </c>
      <c r="B194" t="s">
        <v>27</v>
      </c>
      <c r="C194">
        <v>1562</v>
      </c>
      <c r="D194">
        <v>1</v>
      </c>
      <c r="E194">
        <v>0.2</v>
      </c>
      <c r="F194" s="1">
        <v>43678</v>
      </c>
      <c r="G194">
        <v>8</v>
      </c>
      <c r="H194" t="s">
        <v>16</v>
      </c>
      <c r="I194">
        <v>2019</v>
      </c>
      <c r="J194">
        <f t="shared" si="2"/>
        <v>1562</v>
      </c>
    </row>
    <row r="195" spans="1:10" x14ac:dyDescent="0.25">
      <c r="A195" t="s">
        <v>14</v>
      </c>
      <c r="B195" t="s">
        <v>27</v>
      </c>
      <c r="C195">
        <v>711</v>
      </c>
      <c r="D195">
        <v>1</v>
      </c>
      <c r="E195">
        <v>0.2</v>
      </c>
      <c r="F195" s="1">
        <v>43800</v>
      </c>
      <c r="G195">
        <v>12</v>
      </c>
      <c r="H195" t="s">
        <v>20</v>
      </c>
      <c r="I195">
        <v>2019</v>
      </c>
      <c r="J195">
        <f t="shared" ref="J195:J258" si="3">C195*D195</f>
        <v>711</v>
      </c>
    </row>
    <row r="196" spans="1:10" x14ac:dyDescent="0.25">
      <c r="A196" t="s">
        <v>9</v>
      </c>
      <c r="B196" t="s">
        <v>27</v>
      </c>
      <c r="C196">
        <v>3802.5</v>
      </c>
      <c r="D196">
        <v>1</v>
      </c>
      <c r="E196">
        <v>0.2</v>
      </c>
      <c r="F196" s="1">
        <v>43556</v>
      </c>
      <c r="G196">
        <v>4</v>
      </c>
      <c r="H196" t="s">
        <v>24</v>
      </c>
      <c r="I196">
        <v>2019</v>
      </c>
      <c r="J196">
        <f t="shared" si="3"/>
        <v>3802.5</v>
      </c>
    </row>
    <row r="197" spans="1:10" x14ac:dyDescent="0.25">
      <c r="A197" t="s">
        <v>21</v>
      </c>
      <c r="B197" t="s">
        <v>27</v>
      </c>
      <c r="C197">
        <v>1666</v>
      </c>
      <c r="D197">
        <v>1</v>
      </c>
      <c r="E197">
        <v>0.2</v>
      </c>
      <c r="F197" s="1">
        <v>43586</v>
      </c>
      <c r="G197">
        <v>5</v>
      </c>
      <c r="H197" t="s">
        <v>23</v>
      </c>
      <c r="I197">
        <v>2019</v>
      </c>
      <c r="J197">
        <f t="shared" si="3"/>
        <v>1666</v>
      </c>
    </row>
    <row r="198" spans="1:10" x14ac:dyDescent="0.25">
      <c r="A198" t="s">
        <v>9</v>
      </c>
      <c r="B198" t="s">
        <v>27</v>
      </c>
      <c r="C198">
        <v>2321</v>
      </c>
      <c r="D198">
        <v>1</v>
      </c>
      <c r="E198">
        <v>0.2</v>
      </c>
      <c r="F198" s="1">
        <v>43770</v>
      </c>
      <c r="G198">
        <v>11</v>
      </c>
      <c r="H198" t="s">
        <v>25</v>
      </c>
      <c r="I198">
        <v>2019</v>
      </c>
      <c r="J198">
        <f t="shared" si="3"/>
        <v>2321</v>
      </c>
    </row>
    <row r="199" spans="1:10" x14ac:dyDescent="0.25">
      <c r="A199" t="s">
        <v>18</v>
      </c>
      <c r="B199" t="s">
        <v>27</v>
      </c>
      <c r="C199">
        <v>2797</v>
      </c>
      <c r="D199">
        <v>1</v>
      </c>
      <c r="E199">
        <v>0.2</v>
      </c>
      <c r="F199" s="1">
        <v>43800</v>
      </c>
      <c r="G199">
        <v>12</v>
      </c>
      <c r="H199" t="s">
        <v>20</v>
      </c>
      <c r="I199">
        <v>2019</v>
      </c>
      <c r="J199">
        <f t="shared" si="3"/>
        <v>2797</v>
      </c>
    </row>
    <row r="200" spans="1:10" x14ac:dyDescent="0.25">
      <c r="A200" t="s">
        <v>18</v>
      </c>
      <c r="B200" t="s">
        <v>27</v>
      </c>
      <c r="C200">
        <v>2328</v>
      </c>
      <c r="D200">
        <v>1</v>
      </c>
      <c r="E200">
        <v>0.2</v>
      </c>
      <c r="F200" s="1">
        <v>43709</v>
      </c>
      <c r="G200">
        <v>9</v>
      </c>
      <c r="H200" t="s">
        <v>17</v>
      </c>
      <c r="I200">
        <v>2019</v>
      </c>
      <c r="J200">
        <f t="shared" si="3"/>
        <v>2328</v>
      </c>
    </row>
    <row r="201" spans="1:10" x14ac:dyDescent="0.25">
      <c r="A201" t="s">
        <v>18</v>
      </c>
      <c r="B201" t="s">
        <v>27</v>
      </c>
      <c r="C201">
        <v>2313</v>
      </c>
      <c r="D201">
        <v>1</v>
      </c>
      <c r="E201">
        <v>0.2</v>
      </c>
      <c r="F201" s="1">
        <v>43586</v>
      </c>
      <c r="G201">
        <v>5</v>
      </c>
      <c r="H201" t="s">
        <v>23</v>
      </c>
      <c r="I201">
        <v>2019</v>
      </c>
      <c r="J201">
        <f t="shared" si="3"/>
        <v>2313</v>
      </c>
    </row>
    <row r="202" spans="1:10" x14ac:dyDescent="0.25">
      <c r="A202" t="s">
        <v>21</v>
      </c>
      <c r="B202" t="s">
        <v>27</v>
      </c>
      <c r="C202">
        <v>2072</v>
      </c>
      <c r="D202">
        <v>1</v>
      </c>
      <c r="E202">
        <v>0.2</v>
      </c>
      <c r="F202" s="1">
        <v>43800</v>
      </c>
      <c r="G202">
        <v>12</v>
      </c>
      <c r="H202" t="s">
        <v>20</v>
      </c>
      <c r="I202">
        <v>2019</v>
      </c>
      <c r="J202">
        <f t="shared" si="3"/>
        <v>2072</v>
      </c>
    </row>
    <row r="203" spans="1:10" x14ac:dyDescent="0.25">
      <c r="A203" t="s">
        <v>14</v>
      </c>
      <c r="B203" t="s">
        <v>27</v>
      </c>
      <c r="C203">
        <v>766</v>
      </c>
      <c r="D203">
        <v>1</v>
      </c>
      <c r="E203">
        <v>0.2</v>
      </c>
      <c r="F203" s="1">
        <v>43466</v>
      </c>
      <c r="G203">
        <v>1</v>
      </c>
      <c r="H203" t="s">
        <v>22</v>
      </c>
      <c r="I203">
        <v>2019</v>
      </c>
      <c r="J203">
        <f t="shared" si="3"/>
        <v>766</v>
      </c>
    </row>
    <row r="204" spans="1:10" x14ac:dyDescent="0.25">
      <c r="A204" t="s">
        <v>12</v>
      </c>
      <c r="B204" t="s">
        <v>27</v>
      </c>
      <c r="C204">
        <v>2157</v>
      </c>
      <c r="D204">
        <v>1</v>
      </c>
      <c r="E204">
        <v>0.2</v>
      </c>
      <c r="F204" s="1">
        <v>43800</v>
      </c>
      <c r="G204">
        <v>12</v>
      </c>
      <c r="H204" t="s">
        <v>20</v>
      </c>
      <c r="I204">
        <v>2019</v>
      </c>
      <c r="J204">
        <f t="shared" si="3"/>
        <v>2157</v>
      </c>
    </row>
    <row r="205" spans="1:10" x14ac:dyDescent="0.25">
      <c r="A205" t="s">
        <v>18</v>
      </c>
      <c r="B205" t="s">
        <v>27</v>
      </c>
      <c r="C205">
        <v>677</v>
      </c>
      <c r="D205">
        <v>1</v>
      </c>
      <c r="E205">
        <v>0.2</v>
      </c>
      <c r="F205" s="1">
        <v>43525</v>
      </c>
      <c r="G205">
        <v>3</v>
      </c>
      <c r="H205" t="s">
        <v>26</v>
      </c>
      <c r="I205">
        <v>2019</v>
      </c>
      <c r="J205">
        <f t="shared" si="3"/>
        <v>677</v>
      </c>
    </row>
    <row r="206" spans="1:10" x14ac:dyDescent="0.25">
      <c r="A206" t="s">
        <v>21</v>
      </c>
      <c r="B206" t="s">
        <v>27</v>
      </c>
      <c r="C206">
        <v>1773</v>
      </c>
      <c r="D206">
        <v>1</v>
      </c>
      <c r="E206">
        <v>0.2</v>
      </c>
      <c r="F206" s="1">
        <v>43556</v>
      </c>
      <c r="G206">
        <v>4</v>
      </c>
      <c r="H206" t="s">
        <v>24</v>
      </c>
      <c r="I206">
        <v>2019</v>
      </c>
      <c r="J206">
        <f t="shared" si="3"/>
        <v>1773</v>
      </c>
    </row>
    <row r="207" spans="1:10" x14ac:dyDescent="0.25">
      <c r="A207" t="s">
        <v>12</v>
      </c>
      <c r="B207" t="s">
        <v>27</v>
      </c>
      <c r="C207">
        <v>2420</v>
      </c>
      <c r="D207">
        <v>1</v>
      </c>
      <c r="E207">
        <v>0.2</v>
      </c>
      <c r="F207" s="1">
        <v>43709</v>
      </c>
      <c r="G207">
        <v>9</v>
      </c>
      <c r="H207" t="s">
        <v>17</v>
      </c>
      <c r="I207">
        <v>2019</v>
      </c>
      <c r="J207">
        <f t="shared" si="3"/>
        <v>2420</v>
      </c>
    </row>
    <row r="208" spans="1:10" x14ac:dyDescent="0.25">
      <c r="A208" t="s">
        <v>9</v>
      </c>
      <c r="B208" t="s">
        <v>27</v>
      </c>
      <c r="C208">
        <v>2734</v>
      </c>
      <c r="D208">
        <v>1</v>
      </c>
      <c r="E208">
        <v>0.2</v>
      </c>
      <c r="F208" s="1">
        <v>43739</v>
      </c>
      <c r="G208">
        <v>10</v>
      </c>
      <c r="H208" t="s">
        <v>19</v>
      </c>
      <c r="I208">
        <v>2019</v>
      </c>
      <c r="J208">
        <f t="shared" si="3"/>
        <v>2734</v>
      </c>
    </row>
    <row r="209" spans="1:10" x14ac:dyDescent="0.25">
      <c r="A209" t="s">
        <v>12</v>
      </c>
      <c r="B209" t="s">
        <v>27</v>
      </c>
      <c r="C209">
        <v>2661</v>
      </c>
      <c r="D209">
        <v>1</v>
      </c>
      <c r="E209">
        <v>0.2</v>
      </c>
      <c r="F209" s="1">
        <v>43586</v>
      </c>
      <c r="G209">
        <v>5</v>
      </c>
      <c r="H209" t="s">
        <v>23</v>
      </c>
      <c r="I209">
        <v>2019</v>
      </c>
      <c r="J209">
        <f t="shared" si="3"/>
        <v>2661</v>
      </c>
    </row>
    <row r="210" spans="1:10" x14ac:dyDescent="0.25">
      <c r="A210" t="s">
        <v>18</v>
      </c>
      <c r="B210" t="s">
        <v>27</v>
      </c>
      <c r="C210">
        <v>982.5</v>
      </c>
      <c r="D210">
        <v>1</v>
      </c>
      <c r="E210">
        <v>0.2</v>
      </c>
      <c r="F210" s="1">
        <v>43466</v>
      </c>
      <c r="G210">
        <v>1</v>
      </c>
      <c r="H210" t="s">
        <v>22</v>
      </c>
      <c r="I210">
        <v>2019</v>
      </c>
      <c r="J210">
        <f t="shared" si="3"/>
        <v>982.5</v>
      </c>
    </row>
    <row r="211" spans="1:10" x14ac:dyDescent="0.25">
      <c r="A211" t="s">
        <v>18</v>
      </c>
      <c r="B211" t="s">
        <v>27</v>
      </c>
      <c r="C211">
        <v>1298</v>
      </c>
      <c r="D211">
        <v>1</v>
      </c>
      <c r="E211">
        <v>0.2</v>
      </c>
      <c r="F211" s="1">
        <v>43497</v>
      </c>
      <c r="G211">
        <v>2</v>
      </c>
      <c r="H211" t="s">
        <v>11</v>
      </c>
      <c r="I211">
        <v>2019</v>
      </c>
      <c r="J211">
        <f t="shared" si="3"/>
        <v>1298</v>
      </c>
    </row>
    <row r="212" spans="1:10" x14ac:dyDescent="0.25">
      <c r="A212" t="s">
        <v>12</v>
      </c>
      <c r="B212" t="s">
        <v>27</v>
      </c>
      <c r="C212">
        <v>604</v>
      </c>
      <c r="D212">
        <v>1</v>
      </c>
      <c r="E212">
        <v>0.2</v>
      </c>
      <c r="F212" s="1">
        <v>43617</v>
      </c>
      <c r="G212">
        <v>6</v>
      </c>
      <c r="H212" t="s">
        <v>13</v>
      </c>
      <c r="I212">
        <v>2019</v>
      </c>
      <c r="J212">
        <f t="shared" si="3"/>
        <v>604</v>
      </c>
    </row>
    <row r="213" spans="1:10" x14ac:dyDescent="0.25">
      <c r="A213" t="s">
        <v>12</v>
      </c>
      <c r="B213" t="s">
        <v>27</v>
      </c>
      <c r="C213">
        <v>2255</v>
      </c>
      <c r="D213">
        <v>1</v>
      </c>
      <c r="E213">
        <v>0.2</v>
      </c>
      <c r="F213" s="1">
        <v>43647</v>
      </c>
      <c r="G213">
        <v>7</v>
      </c>
      <c r="H213" t="s">
        <v>15</v>
      </c>
      <c r="I213">
        <v>2019</v>
      </c>
      <c r="J213">
        <f t="shared" si="3"/>
        <v>2255</v>
      </c>
    </row>
    <row r="214" spans="1:10" x14ac:dyDescent="0.25">
      <c r="A214" t="s">
        <v>9</v>
      </c>
      <c r="B214" t="s">
        <v>27</v>
      </c>
      <c r="C214">
        <v>1249</v>
      </c>
      <c r="D214">
        <v>1</v>
      </c>
      <c r="E214">
        <v>0.2</v>
      </c>
      <c r="F214" s="1">
        <v>43739</v>
      </c>
      <c r="G214">
        <v>10</v>
      </c>
      <c r="H214" t="s">
        <v>19</v>
      </c>
      <c r="I214">
        <v>2019</v>
      </c>
      <c r="J214">
        <f t="shared" si="3"/>
        <v>1249</v>
      </c>
    </row>
    <row r="215" spans="1:10" x14ac:dyDescent="0.25">
      <c r="A215" t="s">
        <v>21</v>
      </c>
      <c r="B215" t="s">
        <v>27</v>
      </c>
      <c r="C215">
        <v>293</v>
      </c>
      <c r="D215">
        <v>1</v>
      </c>
      <c r="E215">
        <v>0.2</v>
      </c>
      <c r="F215" s="1">
        <v>43497</v>
      </c>
      <c r="G215">
        <v>2</v>
      </c>
      <c r="H215" t="s">
        <v>11</v>
      </c>
      <c r="I215">
        <v>2019</v>
      </c>
      <c r="J215">
        <f t="shared" si="3"/>
        <v>293</v>
      </c>
    </row>
    <row r="216" spans="1:10" x14ac:dyDescent="0.25">
      <c r="A216" t="s">
        <v>9</v>
      </c>
      <c r="B216" t="s">
        <v>27</v>
      </c>
      <c r="C216">
        <v>2227.5</v>
      </c>
      <c r="D216">
        <v>1</v>
      </c>
      <c r="E216">
        <v>0.2</v>
      </c>
      <c r="F216" s="1">
        <v>43466</v>
      </c>
      <c r="G216">
        <v>1</v>
      </c>
      <c r="H216" t="s">
        <v>22</v>
      </c>
      <c r="I216">
        <v>2019</v>
      </c>
      <c r="J216">
        <f t="shared" si="3"/>
        <v>2227.5</v>
      </c>
    </row>
    <row r="217" spans="1:10" x14ac:dyDescent="0.25">
      <c r="A217" t="s">
        <v>14</v>
      </c>
      <c r="B217" t="s">
        <v>27</v>
      </c>
      <c r="C217">
        <v>1199</v>
      </c>
      <c r="D217">
        <v>1</v>
      </c>
      <c r="E217">
        <v>0.2</v>
      </c>
      <c r="F217" s="1">
        <v>43556</v>
      </c>
      <c r="G217">
        <v>4</v>
      </c>
      <c r="H217" t="s">
        <v>24</v>
      </c>
      <c r="I217">
        <v>2019</v>
      </c>
      <c r="J217">
        <f t="shared" si="3"/>
        <v>1199</v>
      </c>
    </row>
    <row r="218" spans="1:10" x14ac:dyDescent="0.25">
      <c r="A218" t="s">
        <v>9</v>
      </c>
      <c r="B218" t="s">
        <v>27</v>
      </c>
      <c r="C218">
        <v>200</v>
      </c>
      <c r="D218">
        <v>1</v>
      </c>
      <c r="E218">
        <v>0.2</v>
      </c>
      <c r="F218" s="1">
        <v>43586</v>
      </c>
      <c r="G218">
        <v>5</v>
      </c>
      <c r="H218" t="s">
        <v>23</v>
      </c>
      <c r="I218">
        <v>2019</v>
      </c>
      <c r="J218">
        <f t="shared" si="3"/>
        <v>200</v>
      </c>
    </row>
    <row r="219" spans="1:10" x14ac:dyDescent="0.25">
      <c r="A219" t="s">
        <v>9</v>
      </c>
      <c r="B219" t="s">
        <v>27</v>
      </c>
      <c r="C219">
        <v>388</v>
      </c>
      <c r="D219">
        <v>1</v>
      </c>
      <c r="E219">
        <v>0.2</v>
      </c>
      <c r="F219" s="1">
        <v>43709</v>
      </c>
      <c r="G219">
        <v>9</v>
      </c>
      <c r="H219" t="s">
        <v>17</v>
      </c>
      <c r="I219">
        <v>2019</v>
      </c>
      <c r="J219">
        <f t="shared" si="3"/>
        <v>388</v>
      </c>
    </row>
    <row r="220" spans="1:10" x14ac:dyDescent="0.25">
      <c r="A220" t="s">
        <v>9</v>
      </c>
      <c r="B220" t="s">
        <v>27</v>
      </c>
      <c r="C220">
        <v>2300</v>
      </c>
      <c r="D220">
        <v>1</v>
      </c>
      <c r="E220">
        <v>0.2</v>
      </c>
      <c r="F220" s="1">
        <v>43800</v>
      </c>
      <c r="G220">
        <v>12</v>
      </c>
      <c r="H220" t="s">
        <v>20</v>
      </c>
      <c r="I220">
        <v>2019</v>
      </c>
      <c r="J220">
        <f t="shared" si="3"/>
        <v>2300</v>
      </c>
    </row>
    <row r="221" spans="1:10" x14ac:dyDescent="0.25">
      <c r="A221" t="s">
        <v>12</v>
      </c>
      <c r="B221" t="s">
        <v>27</v>
      </c>
      <c r="C221">
        <v>546</v>
      </c>
      <c r="D221">
        <v>1</v>
      </c>
      <c r="E221">
        <v>0.2</v>
      </c>
      <c r="F221" s="1">
        <v>43739</v>
      </c>
      <c r="G221">
        <v>10</v>
      </c>
      <c r="H221" t="s">
        <v>19</v>
      </c>
      <c r="I221">
        <v>2019</v>
      </c>
      <c r="J221">
        <f t="shared" si="3"/>
        <v>546</v>
      </c>
    </row>
    <row r="222" spans="1:10" x14ac:dyDescent="0.25">
      <c r="A222" t="s">
        <v>12</v>
      </c>
      <c r="B222" t="s">
        <v>27</v>
      </c>
      <c r="C222">
        <v>1368</v>
      </c>
      <c r="D222">
        <v>1</v>
      </c>
      <c r="E222">
        <v>0.2</v>
      </c>
      <c r="F222" s="1">
        <v>43497</v>
      </c>
      <c r="G222">
        <v>2</v>
      </c>
      <c r="H222" t="s">
        <v>11</v>
      </c>
      <c r="I222">
        <v>2019</v>
      </c>
      <c r="J222">
        <f t="shared" si="3"/>
        <v>1368</v>
      </c>
    </row>
    <row r="223" spans="1:10" x14ac:dyDescent="0.25">
      <c r="A223" t="s">
        <v>21</v>
      </c>
      <c r="B223" t="s">
        <v>28</v>
      </c>
      <c r="C223">
        <v>2750</v>
      </c>
      <c r="D223">
        <v>5</v>
      </c>
      <c r="E223">
        <v>2.2000000000000002</v>
      </c>
      <c r="F223" s="1">
        <v>43497</v>
      </c>
      <c r="G223">
        <v>2</v>
      </c>
      <c r="H223" t="s">
        <v>11</v>
      </c>
      <c r="I223">
        <v>2019</v>
      </c>
      <c r="J223">
        <f t="shared" si="3"/>
        <v>13750</v>
      </c>
    </row>
    <row r="224" spans="1:10" x14ac:dyDescent="0.25">
      <c r="A224" t="s">
        <v>18</v>
      </c>
      <c r="B224" t="s">
        <v>28</v>
      </c>
      <c r="C224">
        <v>1953</v>
      </c>
      <c r="D224">
        <v>5</v>
      </c>
      <c r="E224">
        <v>2.2000000000000002</v>
      </c>
      <c r="F224" s="1">
        <v>43556</v>
      </c>
      <c r="G224">
        <v>4</v>
      </c>
      <c r="H224" t="s">
        <v>24</v>
      </c>
      <c r="I224">
        <v>2019</v>
      </c>
      <c r="J224">
        <f t="shared" si="3"/>
        <v>9765</v>
      </c>
    </row>
    <row r="225" spans="1:10" x14ac:dyDescent="0.25">
      <c r="A225" t="s">
        <v>14</v>
      </c>
      <c r="B225" t="s">
        <v>28</v>
      </c>
      <c r="C225">
        <v>4219.5</v>
      </c>
      <c r="D225">
        <v>5</v>
      </c>
      <c r="E225">
        <v>2.2000000000000002</v>
      </c>
      <c r="F225" s="1">
        <v>43556</v>
      </c>
      <c r="G225">
        <v>4</v>
      </c>
      <c r="H225" t="s">
        <v>24</v>
      </c>
      <c r="I225">
        <v>2019</v>
      </c>
      <c r="J225">
        <f t="shared" si="3"/>
        <v>21097.5</v>
      </c>
    </row>
    <row r="226" spans="1:10" x14ac:dyDescent="0.25">
      <c r="A226" t="s">
        <v>21</v>
      </c>
      <c r="B226" t="s">
        <v>28</v>
      </c>
      <c r="C226">
        <v>1899</v>
      </c>
      <c r="D226">
        <v>5</v>
      </c>
      <c r="E226">
        <v>2.2000000000000002</v>
      </c>
      <c r="F226" s="1">
        <v>43617</v>
      </c>
      <c r="G226">
        <v>6</v>
      </c>
      <c r="H226" t="s">
        <v>13</v>
      </c>
      <c r="I226">
        <v>2019</v>
      </c>
      <c r="J226">
        <f t="shared" si="3"/>
        <v>9495</v>
      </c>
    </row>
    <row r="227" spans="1:10" x14ac:dyDescent="0.25">
      <c r="A227" t="s">
        <v>14</v>
      </c>
      <c r="B227" t="s">
        <v>28</v>
      </c>
      <c r="C227">
        <v>1686</v>
      </c>
      <c r="D227">
        <v>5</v>
      </c>
      <c r="E227">
        <v>2.2000000000000002</v>
      </c>
      <c r="F227" s="1">
        <v>43647</v>
      </c>
      <c r="G227">
        <v>7</v>
      </c>
      <c r="H227" t="s">
        <v>15</v>
      </c>
      <c r="I227">
        <v>2019</v>
      </c>
      <c r="J227">
        <f t="shared" si="3"/>
        <v>8430</v>
      </c>
    </row>
    <row r="228" spans="1:10" x14ac:dyDescent="0.25">
      <c r="A228" t="s">
        <v>18</v>
      </c>
      <c r="B228" t="s">
        <v>28</v>
      </c>
      <c r="C228">
        <v>2141</v>
      </c>
      <c r="D228">
        <v>5</v>
      </c>
      <c r="E228">
        <v>2.2000000000000002</v>
      </c>
      <c r="F228" s="1">
        <v>43678</v>
      </c>
      <c r="G228">
        <v>8</v>
      </c>
      <c r="H228" t="s">
        <v>16</v>
      </c>
      <c r="I228">
        <v>2019</v>
      </c>
      <c r="J228">
        <f t="shared" si="3"/>
        <v>10705</v>
      </c>
    </row>
    <row r="229" spans="1:10" x14ac:dyDescent="0.25">
      <c r="A229" t="s">
        <v>18</v>
      </c>
      <c r="B229" t="s">
        <v>28</v>
      </c>
      <c r="C229">
        <v>1143</v>
      </c>
      <c r="D229">
        <v>5</v>
      </c>
      <c r="E229">
        <v>2.2000000000000002</v>
      </c>
      <c r="F229" s="1">
        <v>43739</v>
      </c>
      <c r="G229">
        <v>10</v>
      </c>
      <c r="H229" t="s">
        <v>19</v>
      </c>
      <c r="I229">
        <v>2019</v>
      </c>
      <c r="J229">
        <f t="shared" si="3"/>
        <v>5715</v>
      </c>
    </row>
    <row r="230" spans="1:10" x14ac:dyDescent="0.25">
      <c r="A230" t="s">
        <v>18</v>
      </c>
      <c r="B230" t="s">
        <v>28</v>
      </c>
      <c r="C230">
        <v>615</v>
      </c>
      <c r="D230">
        <v>5</v>
      </c>
      <c r="E230">
        <v>2.2000000000000002</v>
      </c>
      <c r="F230" s="1">
        <v>43800</v>
      </c>
      <c r="G230">
        <v>12</v>
      </c>
      <c r="H230" t="s">
        <v>20</v>
      </c>
      <c r="I230">
        <v>2019</v>
      </c>
      <c r="J230">
        <f t="shared" si="3"/>
        <v>3075</v>
      </c>
    </row>
    <row r="231" spans="1:10" x14ac:dyDescent="0.25">
      <c r="A231" t="s">
        <v>14</v>
      </c>
      <c r="B231" t="s">
        <v>28</v>
      </c>
      <c r="C231">
        <v>259</v>
      </c>
      <c r="D231">
        <v>5</v>
      </c>
      <c r="E231">
        <v>2.2000000000000002</v>
      </c>
      <c r="F231" s="1">
        <v>43525</v>
      </c>
      <c r="G231">
        <v>3</v>
      </c>
      <c r="H231" t="s">
        <v>26</v>
      </c>
      <c r="I231">
        <v>2019</v>
      </c>
      <c r="J231">
        <f t="shared" si="3"/>
        <v>1295</v>
      </c>
    </row>
    <row r="232" spans="1:10" x14ac:dyDescent="0.25">
      <c r="A232" t="s">
        <v>12</v>
      </c>
      <c r="B232" t="s">
        <v>28</v>
      </c>
      <c r="C232">
        <v>1101</v>
      </c>
      <c r="D232">
        <v>5</v>
      </c>
      <c r="E232">
        <v>2.2000000000000002</v>
      </c>
      <c r="F232" s="1">
        <v>43525</v>
      </c>
      <c r="G232">
        <v>3</v>
      </c>
      <c r="H232" t="s">
        <v>26</v>
      </c>
      <c r="I232">
        <v>2019</v>
      </c>
      <c r="J232">
        <f t="shared" si="3"/>
        <v>5505</v>
      </c>
    </row>
    <row r="233" spans="1:10" x14ac:dyDescent="0.25">
      <c r="A233" t="s">
        <v>14</v>
      </c>
      <c r="B233" t="s">
        <v>28</v>
      </c>
      <c r="C233">
        <v>2276</v>
      </c>
      <c r="D233">
        <v>5</v>
      </c>
      <c r="E233">
        <v>2.2000000000000002</v>
      </c>
      <c r="F233" s="1">
        <v>43586</v>
      </c>
      <c r="G233">
        <v>5</v>
      </c>
      <c r="H233" t="s">
        <v>23</v>
      </c>
      <c r="I233">
        <v>2019</v>
      </c>
      <c r="J233">
        <f t="shared" si="3"/>
        <v>11380</v>
      </c>
    </row>
    <row r="234" spans="1:10" x14ac:dyDescent="0.25">
      <c r="A234" t="s">
        <v>18</v>
      </c>
      <c r="B234" t="s">
        <v>28</v>
      </c>
      <c r="C234">
        <v>1236</v>
      </c>
      <c r="D234">
        <v>5</v>
      </c>
      <c r="E234">
        <v>2.2000000000000002</v>
      </c>
      <c r="F234" s="1">
        <v>43770</v>
      </c>
      <c r="G234">
        <v>11</v>
      </c>
      <c r="H234" t="s">
        <v>25</v>
      </c>
      <c r="I234">
        <v>2019</v>
      </c>
      <c r="J234">
        <f t="shared" si="3"/>
        <v>6180</v>
      </c>
    </row>
    <row r="235" spans="1:10" x14ac:dyDescent="0.25">
      <c r="A235" t="s">
        <v>21</v>
      </c>
      <c r="B235" t="s">
        <v>28</v>
      </c>
      <c r="C235">
        <v>941</v>
      </c>
      <c r="D235">
        <v>5</v>
      </c>
      <c r="E235">
        <v>2.2000000000000002</v>
      </c>
      <c r="F235" s="1">
        <v>43770</v>
      </c>
      <c r="G235">
        <v>11</v>
      </c>
      <c r="H235" t="s">
        <v>25</v>
      </c>
      <c r="I235">
        <v>2019</v>
      </c>
      <c r="J235">
        <f t="shared" si="3"/>
        <v>4705</v>
      </c>
    </row>
    <row r="236" spans="1:10" x14ac:dyDescent="0.25">
      <c r="A236" t="s">
        <v>9</v>
      </c>
      <c r="B236" t="s">
        <v>28</v>
      </c>
      <c r="C236">
        <v>1916</v>
      </c>
      <c r="D236">
        <v>5</v>
      </c>
      <c r="E236">
        <v>2.2000000000000002</v>
      </c>
      <c r="F236" s="1">
        <v>43800</v>
      </c>
      <c r="G236">
        <v>12</v>
      </c>
      <c r="H236" t="s">
        <v>20</v>
      </c>
      <c r="I236">
        <v>2019</v>
      </c>
      <c r="J236">
        <f t="shared" si="3"/>
        <v>9580</v>
      </c>
    </row>
    <row r="237" spans="1:10" x14ac:dyDescent="0.25">
      <c r="A237" t="s">
        <v>12</v>
      </c>
      <c r="B237" t="s">
        <v>28</v>
      </c>
      <c r="C237">
        <v>1865</v>
      </c>
      <c r="D237">
        <v>5</v>
      </c>
      <c r="E237">
        <v>2.2000000000000002</v>
      </c>
      <c r="F237" s="1">
        <v>43497</v>
      </c>
      <c r="G237">
        <v>2</v>
      </c>
      <c r="H237" t="s">
        <v>11</v>
      </c>
      <c r="I237">
        <v>2019</v>
      </c>
      <c r="J237">
        <f t="shared" si="3"/>
        <v>9325</v>
      </c>
    </row>
    <row r="238" spans="1:10" x14ac:dyDescent="0.25">
      <c r="A238" t="s">
        <v>12</v>
      </c>
      <c r="B238" t="s">
        <v>28</v>
      </c>
      <c r="C238">
        <v>1074</v>
      </c>
      <c r="D238">
        <v>5</v>
      </c>
      <c r="E238">
        <v>2.2000000000000002</v>
      </c>
      <c r="F238" s="1">
        <v>43556</v>
      </c>
      <c r="G238">
        <v>4</v>
      </c>
      <c r="H238" t="s">
        <v>24</v>
      </c>
      <c r="I238">
        <v>2019</v>
      </c>
      <c r="J238">
        <f t="shared" si="3"/>
        <v>5370</v>
      </c>
    </row>
    <row r="239" spans="1:10" x14ac:dyDescent="0.25">
      <c r="A239" t="s">
        <v>14</v>
      </c>
      <c r="B239" t="s">
        <v>28</v>
      </c>
      <c r="C239">
        <v>1907</v>
      </c>
      <c r="D239">
        <v>5</v>
      </c>
      <c r="E239">
        <v>2.2000000000000002</v>
      </c>
      <c r="F239" s="1">
        <v>43709</v>
      </c>
      <c r="G239">
        <v>9</v>
      </c>
      <c r="H239" t="s">
        <v>17</v>
      </c>
      <c r="I239">
        <v>2019</v>
      </c>
      <c r="J239">
        <f t="shared" si="3"/>
        <v>9535</v>
      </c>
    </row>
    <row r="240" spans="1:10" x14ac:dyDescent="0.25">
      <c r="A240" t="s">
        <v>12</v>
      </c>
      <c r="B240" t="s">
        <v>28</v>
      </c>
      <c r="C240">
        <v>1683</v>
      </c>
      <c r="D240">
        <v>5</v>
      </c>
      <c r="E240">
        <v>2.2000000000000002</v>
      </c>
      <c r="F240" s="1">
        <v>43647</v>
      </c>
      <c r="G240">
        <v>7</v>
      </c>
      <c r="H240" t="s">
        <v>15</v>
      </c>
      <c r="I240">
        <v>2019</v>
      </c>
      <c r="J240">
        <f t="shared" si="3"/>
        <v>8415</v>
      </c>
    </row>
    <row r="241" spans="1:10" x14ac:dyDescent="0.25">
      <c r="A241" t="s">
        <v>12</v>
      </c>
      <c r="B241" t="s">
        <v>28</v>
      </c>
      <c r="C241">
        <v>1123</v>
      </c>
      <c r="D241">
        <v>5</v>
      </c>
      <c r="E241">
        <v>2.2000000000000002</v>
      </c>
      <c r="F241" s="1">
        <v>43678</v>
      </c>
      <c r="G241">
        <v>8</v>
      </c>
      <c r="H241" t="s">
        <v>16</v>
      </c>
      <c r="I241">
        <v>2019</v>
      </c>
      <c r="J241">
        <f t="shared" si="3"/>
        <v>5615</v>
      </c>
    </row>
    <row r="242" spans="1:10" x14ac:dyDescent="0.25">
      <c r="A242" t="s">
        <v>14</v>
      </c>
      <c r="B242" t="s">
        <v>28</v>
      </c>
      <c r="C242">
        <v>1350</v>
      </c>
      <c r="D242">
        <v>5</v>
      </c>
      <c r="E242">
        <v>2.2000000000000002</v>
      </c>
      <c r="F242" s="1">
        <v>43497</v>
      </c>
      <c r="G242">
        <v>2</v>
      </c>
      <c r="H242" t="s">
        <v>11</v>
      </c>
      <c r="I242">
        <v>2019</v>
      </c>
      <c r="J242">
        <f t="shared" si="3"/>
        <v>6750</v>
      </c>
    </row>
    <row r="243" spans="1:10" x14ac:dyDescent="0.25">
      <c r="A243" t="s">
        <v>9</v>
      </c>
      <c r="B243" t="s">
        <v>28</v>
      </c>
      <c r="C243">
        <v>552</v>
      </c>
      <c r="D243">
        <v>5</v>
      </c>
      <c r="E243">
        <v>2.2000000000000002</v>
      </c>
      <c r="F243" s="1">
        <v>43678</v>
      </c>
      <c r="G243">
        <v>8</v>
      </c>
      <c r="H243" t="s">
        <v>16</v>
      </c>
      <c r="I243">
        <v>2019</v>
      </c>
      <c r="J243">
        <f t="shared" si="3"/>
        <v>2760</v>
      </c>
    </row>
    <row r="244" spans="1:10" x14ac:dyDescent="0.25">
      <c r="A244" t="s">
        <v>14</v>
      </c>
      <c r="B244" t="s">
        <v>28</v>
      </c>
      <c r="C244">
        <v>1250</v>
      </c>
      <c r="D244">
        <v>5</v>
      </c>
      <c r="E244">
        <v>2.2000000000000002</v>
      </c>
      <c r="F244" s="1">
        <v>43800</v>
      </c>
      <c r="G244">
        <v>12</v>
      </c>
      <c r="H244" t="s">
        <v>20</v>
      </c>
      <c r="I244">
        <v>2019</v>
      </c>
      <c r="J244">
        <f t="shared" si="3"/>
        <v>6250</v>
      </c>
    </row>
    <row r="245" spans="1:10" x14ac:dyDescent="0.25">
      <c r="A245" t="s">
        <v>21</v>
      </c>
      <c r="B245" t="s">
        <v>28</v>
      </c>
      <c r="C245">
        <v>1987.5</v>
      </c>
      <c r="D245">
        <v>5</v>
      </c>
      <c r="E245">
        <v>2.2000000000000002</v>
      </c>
      <c r="F245" s="1">
        <v>43466</v>
      </c>
      <c r="G245">
        <v>1</v>
      </c>
      <c r="H245" t="s">
        <v>22</v>
      </c>
      <c r="I245">
        <v>2019</v>
      </c>
      <c r="J245">
        <f t="shared" si="3"/>
        <v>9937.5</v>
      </c>
    </row>
    <row r="246" spans="1:10" x14ac:dyDescent="0.25">
      <c r="A246" t="s">
        <v>12</v>
      </c>
      <c r="B246" t="s">
        <v>28</v>
      </c>
      <c r="C246">
        <v>1679</v>
      </c>
      <c r="D246">
        <v>5</v>
      </c>
      <c r="E246">
        <v>2.2000000000000002</v>
      </c>
      <c r="F246" s="1">
        <v>43709</v>
      </c>
      <c r="G246">
        <v>9</v>
      </c>
      <c r="H246" t="s">
        <v>17</v>
      </c>
      <c r="I246">
        <v>2019</v>
      </c>
      <c r="J246">
        <f t="shared" si="3"/>
        <v>8395</v>
      </c>
    </row>
    <row r="247" spans="1:10" x14ac:dyDescent="0.25">
      <c r="A247" t="s">
        <v>9</v>
      </c>
      <c r="B247" t="s">
        <v>28</v>
      </c>
      <c r="C247">
        <v>1135</v>
      </c>
      <c r="D247">
        <v>5</v>
      </c>
      <c r="E247">
        <v>2.2000000000000002</v>
      </c>
      <c r="F247" s="1">
        <v>43617</v>
      </c>
      <c r="G247">
        <v>6</v>
      </c>
      <c r="H247" t="s">
        <v>13</v>
      </c>
      <c r="I247">
        <v>2019</v>
      </c>
      <c r="J247">
        <f t="shared" si="3"/>
        <v>5675</v>
      </c>
    </row>
    <row r="248" spans="1:10" x14ac:dyDescent="0.25">
      <c r="A248" t="s">
        <v>9</v>
      </c>
      <c r="B248" t="s">
        <v>28</v>
      </c>
      <c r="C248">
        <v>1645</v>
      </c>
      <c r="D248">
        <v>5</v>
      </c>
      <c r="E248">
        <v>2.2000000000000002</v>
      </c>
      <c r="F248" s="1">
        <v>43586</v>
      </c>
      <c r="G248">
        <v>5</v>
      </c>
      <c r="H248" t="s">
        <v>23</v>
      </c>
      <c r="I248">
        <v>2019</v>
      </c>
      <c r="J248">
        <f t="shared" si="3"/>
        <v>8225</v>
      </c>
    </row>
    <row r="249" spans="1:10" x14ac:dyDescent="0.25">
      <c r="A249" t="s">
        <v>21</v>
      </c>
      <c r="B249" t="s">
        <v>28</v>
      </c>
      <c r="C249">
        <v>2876</v>
      </c>
      <c r="D249">
        <v>5</v>
      </c>
      <c r="E249">
        <v>2.2000000000000002</v>
      </c>
      <c r="F249" s="1">
        <v>43709</v>
      </c>
      <c r="G249">
        <v>9</v>
      </c>
      <c r="H249" t="s">
        <v>17</v>
      </c>
      <c r="I249">
        <v>2019</v>
      </c>
      <c r="J249">
        <f t="shared" si="3"/>
        <v>14380</v>
      </c>
    </row>
    <row r="250" spans="1:10" x14ac:dyDescent="0.25">
      <c r="A250" t="s">
        <v>9</v>
      </c>
      <c r="B250" t="s">
        <v>28</v>
      </c>
      <c r="C250">
        <v>1118</v>
      </c>
      <c r="D250">
        <v>5</v>
      </c>
      <c r="E250">
        <v>2.2000000000000002</v>
      </c>
      <c r="F250" s="1">
        <v>43770</v>
      </c>
      <c r="G250">
        <v>11</v>
      </c>
      <c r="H250" t="s">
        <v>25</v>
      </c>
      <c r="I250">
        <v>2019</v>
      </c>
      <c r="J250">
        <f t="shared" si="3"/>
        <v>5590</v>
      </c>
    </row>
    <row r="251" spans="1:10" x14ac:dyDescent="0.25">
      <c r="A251" t="s">
        <v>18</v>
      </c>
      <c r="B251" t="s">
        <v>28</v>
      </c>
      <c r="C251">
        <v>1372</v>
      </c>
      <c r="D251">
        <v>5</v>
      </c>
      <c r="E251">
        <v>2.2000000000000002</v>
      </c>
      <c r="F251" s="1">
        <v>43800</v>
      </c>
      <c r="G251">
        <v>12</v>
      </c>
      <c r="H251" t="s">
        <v>20</v>
      </c>
      <c r="I251">
        <v>2019</v>
      </c>
      <c r="J251">
        <f t="shared" si="3"/>
        <v>6860</v>
      </c>
    </row>
    <row r="252" spans="1:10" x14ac:dyDescent="0.25">
      <c r="A252" t="s">
        <v>18</v>
      </c>
      <c r="B252" t="s">
        <v>28</v>
      </c>
      <c r="C252">
        <v>1282</v>
      </c>
      <c r="D252">
        <v>5</v>
      </c>
      <c r="E252">
        <v>2.2000000000000002</v>
      </c>
      <c r="F252" s="1">
        <v>43617</v>
      </c>
      <c r="G252">
        <v>6</v>
      </c>
      <c r="H252" t="s">
        <v>13</v>
      </c>
      <c r="I252">
        <v>2019</v>
      </c>
      <c r="J252">
        <f t="shared" si="3"/>
        <v>6410</v>
      </c>
    </row>
    <row r="253" spans="1:10" x14ac:dyDescent="0.25">
      <c r="A253" t="s">
        <v>9</v>
      </c>
      <c r="B253" t="s">
        <v>28</v>
      </c>
      <c r="C253">
        <v>708</v>
      </c>
      <c r="D253">
        <v>5</v>
      </c>
      <c r="E253">
        <v>2.2000000000000002</v>
      </c>
      <c r="F253" s="1">
        <v>43617</v>
      </c>
      <c r="G253">
        <v>6</v>
      </c>
      <c r="H253" t="s">
        <v>13</v>
      </c>
      <c r="I253">
        <v>2019</v>
      </c>
      <c r="J253">
        <f t="shared" si="3"/>
        <v>3540</v>
      </c>
    </row>
    <row r="254" spans="1:10" x14ac:dyDescent="0.25">
      <c r="A254" t="s">
        <v>18</v>
      </c>
      <c r="B254" t="s">
        <v>28</v>
      </c>
      <c r="C254">
        <v>2907</v>
      </c>
      <c r="D254">
        <v>5</v>
      </c>
      <c r="E254">
        <v>2.2000000000000002</v>
      </c>
      <c r="F254" s="1">
        <v>43617</v>
      </c>
      <c r="G254">
        <v>6</v>
      </c>
      <c r="H254" t="s">
        <v>13</v>
      </c>
      <c r="I254">
        <v>2019</v>
      </c>
      <c r="J254">
        <f t="shared" si="3"/>
        <v>14535</v>
      </c>
    </row>
    <row r="255" spans="1:10" x14ac:dyDescent="0.25">
      <c r="A255" t="s">
        <v>14</v>
      </c>
      <c r="B255" t="s">
        <v>28</v>
      </c>
      <c r="C255">
        <v>1366</v>
      </c>
      <c r="D255">
        <v>5</v>
      </c>
      <c r="E255">
        <v>2.2000000000000002</v>
      </c>
      <c r="F255" s="1">
        <v>43617</v>
      </c>
      <c r="G255">
        <v>6</v>
      </c>
      <c r="H255" t="s">
        <v>13</v>
      </c>
      <c r="I255">
        <v>2019</v>
      </c>
      <c r="J255">
        <f t="shared" si="3"/>
        <v>6830</v>
      </c>
    </row>
    <row r="256" spans="1:10" x14ac:dyDescent="0.25">
      <c r="A256" t="s">
        <v>12</v>
      </c>
      <c r="B256" t="s">
        <v>28</v>
      </c>
      <c r="C256">
        <v>2460</v>
      </c>
      <c r="D256">
        <v>5</v>
      </c>
      <c r="E256">
        <v>2.2000000000000002</v>
      </c>
      <c r="F256" s="1">
        <v>43617</v>
      </c>
      <c r="G256">
        <v>6</v>
      </c>
      <c r="H256" t="s">
        <v>13</v>
      </c>
      <c r="I256">
        <v>2019</v>
      </c>
      <c r="J256">
        <f t="shared" si="3"/>
        <v>12300</v>
      </c>
    </row>
    <row r="257" spans="1:10" x14ac:dyDescent="0.25">
      <c r="A257" t="s">
        <v>14</v>
      </c>
      <c r="B257" t="s">
        <v>28</v>
      </c>
      <c r="C257">
        <v>1520</v>
      </c>
      <c r="D257">
        <v>5</v>
      </c>
      <c r="E257">
        <v>2.2000000000000002</v>
      </c>
      <c r="F257" s="1">
        <v>43770</v>
      </c>
      <c r="G257">
        <v>11</v>
      </c>
      <c r="H257" t="s">
        <v>25</v>
      </c>
      <c r="I257">
        <v>2019</v>
      </c>
      <c r="J257">
        <f t="shared" si="3"/>
        <v>7600</v>
      </c>
    </row>
    <row r="258" spans="1:10" x14ac:dyDescent="0.25">
      <c r="A258" t="s">
        <v>14</v>
      </c>
      <c r="B258" t="s">
        <v>28</v>
      </c>
      <c r="C258">
        <v>711</v>
      </c>
      <c r="D258">
        <v>5</v>
      </c>
      <c r="E258">
        <v>2.2000000000000002</v>
      </c>
      <c r="F258" s="1">
        <v>43800</v>
      </c>
      <c r="G258">
        <v>12</v>
      </c>
      <c r="H258" t="s">
        <v>20</v>
      </c>
      <c r="I258">
        <v>2019</v>
      </c>
      <c r="J258">
        <f t="shared" si="3"/>
        <v>3555</v>
      </c>
    </row>
    <row r="259" spans="1:10" x14ac:dyDescent="0.25">
      <c r="A259" t="s">
        <v>12</v>
      </c>
      <c r="B259" t="s">
        <v>28</v>
      </c>
      <c r="C259">
        <v>635</v>
      </c>
      <c r="D259">
        <v>5</v>
      </c>
      <c r="E259">
        <v>2.2000000000000002</v>
      </c>
      <c r="F259" s="1">
        <v>43800</v>
      </c>
      <c r="G259">
        <v>12</v>
      </c>
      <c r="H259" t="s">
        <v>20</v>
      </c>
      <c r="I259">
        <v>2019</v>
      </c>
      <c r="J259">
        <f t="shared" ref="J259:J322" si="4">C259*D259</f>
        <v>3175</v>
      </c>
    </row>
    <row r="260" spans="1:10" x14ac:dyDescent="0.25">
      <c r="A260" t="s">
        <v>18</v>
      </c>
      <c r="B260" t="s">
        <v>28</v>
      </c>
      <c r="C260">
        <v>2071</v>
      </c>
      <c r="D260">
        <v>5</v>
      </c>
      <c r="E260">
        <v>2.2000000000000002</v>
      </c>
      <c r="F260" s="1">
        <v>43709</v>
      </c>
      <c r="G260">
        <v>9</v>
      </c>
      <c r="H260" t="s">
        <v>17</v>
      </c>
      <c r="I260">
        <v>2019</v>
      </c>
      <c r="J260">
        <f t="shared" si="4"/>
        <v>10355</v>
      </c>
    </row>
    <row r="261" spans="1:10" x14ac:dyDescent="0.25">
      <c r="A261" t="s">
        <v>9</v>
      </c>
      <c r="B261" t="s">
        <v>28</v>
      </c>
      <c r="C261">
        <v>1269</v>
      </c>
      <c r="D261">
        <v>5</v>
      </c>
      <c r="E261">
        <v>2.2000000000000002</v>
      </c>
      <c r="F261" s="1">
        <v>43739</v>
      </c>
      <c r="G261">
        <v>10</v>
      </c>
      <c r="H261" t="s">
        <v>19</v>
      </c>
      <c r="I261">
        <v>2019</v>
      </c>
      <c r="J261">
        <f t="shared" si="4"/>
        <v>6345</v>
      </c>
    </row>
    <row r="262" spans="1:10" x14ac:dyDescent="0.25">
      <c r="A262" t="s">
        <v>12</v>
      </c>
      <c r="B262" t="s">
        <v>28</v>
      </c>
      <c r="C262">
        <v>1694</v>
      </c>
      <c r="D262">
        <v>5</v>
      </c>
      <c r="E262">
        <v>2.2000000000000002</v>
      </c>
      <c r="F262" s="1">
        <v>43770</v>
      </c>
      <c r="G262">
        <v>11</v>
      </c>
      <c r="H262" t="s">
        <v>25</v>
      </c>
      <c r="I262">
        <v>2019</v>
      </c>
      <c r="J262">
        <f t="shared" si="4"/>
        <v>8470</v>
      </c>
    </row>
    <row r="263" spans="1:10" x14ac:dyDescent="0.25">
      <c r="A263" t="s">
        <v>12</v>
      </c>
      <c r="B263" t="s">
        <v>28</v>
      </c>
      <c r="C263">
        <v>1038</v>
      </c>
      <c r="D263">
        <v>5</v>
      </c>
      <c r="E263">
        <v>2.2000000000000002</v>
      </c>
      <c r="F263" s="1">
        <v>43617</v>
      </c>
      <c r="G263">
        <v>6</v>
      </c>
      <c r="H263" t="s">
        <v>13</v>
      </c>
      <c r="I263">
        <v>2019</v>
      </c>
      <c r="J263">
        <f t="shared" si="4"/>
        <v>5190</v>
      </c>
    </row>
    <row r="264" spans="1:10" x14ac:dyDescent="0.25">
      <c r="A264" t="s">
        <v>9</v>
      </c>
      <c r="B264" t="s">
        <v>28</v>
      </c>
      <c r="C264">
        <v>1630.5</v>
      </c>
      <c r="D264">
        <v>5</v>
      </c>
      <c r="E264">
        <v>2.2000000000000002</v>
      </c>
      <c r="F264" s="1">
        <v>43647</v>
      </c>
      <c r="G264">
        <v>7</v>
      </c>
      <c r="H264" t="s">
        <v>15</v>
      </c>
      <c r="I264">
        <v>2019</v>
      </c>
      <c r="J264">
        <f t="shared" si="4"/>
        <v>8152.5</v>
      </c>
    </row>
    <row r="265" spans="1:10" x14ac:dyDescent="0.25">
      <c r="A265" t="s">
        <v>18</v>
      </c>
      <c r="B265" t="s">
        <v>28</v>
      </c>
      <c r="C265">
        <v>579</v>
      </c>
      <c r="D265">
        <v>5</v>
      </c>
      <c r="E265">
        <v>2.2000000000000002</v>
      </c>
      <c r="F265" s="1">
        <v>43466</v>
      </c>
      <c r="G265">
        <v>1</v>
      </c>
      <c r="H265" t="s">
        <v>22</v>
      </c>
      <c r="I265">
        <v>2019</v>
      </c>
      <c r="J265">
        <f t="shared" si="4"/>
        <v>2895</v>
      </c>
    </row>
    <row r="266" spans="1:10" x14ac:dyDescent="0.25">
      <c r="A266" t="s">
        <v>9</v>
      </c>
      <c r="B266" t="s">
        <v>28</v>
      </c>
      <c r="C266">
        <v>2240</v>
      </c>
      <c r="D266">
        <v>5</v>
      </c>
      <c r="E266">
        <v>2.2000000000000002</v>
      </c>
      <c r="F266" s="1">
        <v>43497</v>
      </c>
      <c r="G266">
        <v>2</v>
      </c>
      <c r="H266" t="s">
        <v>11</v>
      </c>
      <c r="I266">
        <v>2019</v>
      </c>
      <c r="J266">
        <f t="shared" si="4"/>
        <v>11200</v>
      </c>
    </row>
    <row r="267" spans="1:10" x14ac:dyDescent="0.25">
      <c r="A267" t="s">
        <v>18</v>
      </c>
      <c r="B267" t="s">
        <v>28</v>
      </c>
      <c r="C267">
        <v>2993</v>
      </c>
      <c r="D267">
        <v>5</v>
      </c>
      <c r="E267">
        <v>2.2000000000000002</v>
      </c>
      <c r="F267" s="1">
        <v>43525</v>
      </c>
      <c r="G267">
        <v>3</v>
      </c>
      <c r="H267" t="s">
        <v>26</v>
      </c>
      <c r="I267">
        <v>2019</v>
      </c>
      <c r="J267">
        <f t="shared" si="4"/>
        <v>14965</v>
      </c>
    </row>
    <row r="268" spans="1:10" x14ac:dyDescent="0.25">
      <c r="A268" t="s">
        <v>9</v>
      </c>
      <c r="B268" t="s">
        <v>28</v>
      </c>
      <c r="C268">
        <v>3520.5</v>
      </c>
      <c r="D268">
        <v>5</v>
      </c>
      <c r="E268">
        <v>2.2000000000000002</v>
      </c>
      <c r="F268" s="1">
        <v>43556</v>
      </c>
      <c r="G268">
        <v>4</v>
      </c>
      <c r="H268" t="s">
        <v>24</v>
      </c>
      <c r="I268">
        <v>2019</v>
      </c>
      <c r="J268">
        <f t="shared" si="4"/>
        <v>17602.5</v>
      </c>
    </row>
    <row r="269" spans="1:10" x14ac:dyDescent="0.25">
      <c r="A269" t="s">
        <v>12</v>
      </c>
      <c r="B269" t="s">
        <v>28</v>
      </c>
      <c r="C269">
        <v>2039</v>
      </c>
      <c r="D269">
        <v>5</v>
      </c>
      <c r="E269">
        <v>2.2000000000000002</v>
      </c>
      <c r="F269" s="1">
        <v>43586</v>
      </c>
      <c r="G269">
        <v>5</v>
      </c>
      <c r="H269" t="s">
        <v>23</v>
      </c>
      <c r="I269">
        <v>2019</v>
      </c>
      <c r="J269">
        <f t="shared" si="4"/>
        <v>10195</v>
      </c>
    </row>
    <row r="270" spans="1:10" x14ac:dyDescent="0.25">
      <c r="A270" t="s">
        <v>14</v>
      </c>
      <c r="B270" t="s">
        <v>28</v>
      </c>
      <c r="C270">
        <v>2574</v>
      </c>
      <c r="D270">
        <v>5</v>
      </c>
      <c r="E270">
        <v>2.2000000000000002</v>
      </c>
      <c r="F270" s="1">
        <v>43678</v>
      </c>
      <c r="G270">
        <v>8</v>
      </c>
      <c r="H270" t="s">
        <v>16</v>
      </c>
      <c r="I270">
        <v>2019</v>
      </c>
      <c r="J270">
        <f t="shared" si="4"/>
        <v>12870</v>
      </c>
    </row>
    <row r="271" spans="1:10" x14ac:dyDescent="0.25">
      <c r="A271" t="s">
        <v>9</v>
      </c>
      <c r="B271" t="s">
        <v>28</v>
      </c>
      <c r="C271">
        <v>707</v>
      </c>
      <c r="D271">
        <v>5</v>
      </c>
      <c r="E271">
        <v>2.2000000000000002</v>
      </c>
      <c r="F271" s="1">
        <v>43709</v>
      </c>
      <c r="G271">
        <v>9</v>
      </c>
      <c r="H271" t="s">
        <v>17</v>
      </c>
      <c r="I271">
        <v>2019</v>
      </c>
      <c r="J271">
        <f t="shared" si="4"/>
        <v>3535</v>
      </c>
    </row>
    <row r="272" spans="1:10" x14ac:dyDescent="0.25">
      <c r="A272" t="s">
        <v>21</v>
      </c>
      <c r="B272" t="s">
        <v>28</v>
      </c>
      <c r="C272">
        <v>2072</v>
      </c>
      <c r="D272">
        <v>5</v>
      </c>
      <c r="E272">
        <v>2.2000000000000002</v>
      </c>
      <c r="F272" s="1">
        <v>43800</v>
      </c>
      <c r="G272">
        <v>12</v>
      </c>
      <c r="H272" t="s">
        <v>20</v>
      </c>
      <c r="I272">
        <v>2019</v>
      </c>
      <c r="J272">
        <f t="shared" si="4"/>
        <v>10360</v>
      </c>
    </row>
    <row r="273" spans="1:10" x14ac:dyDescent="0.25">
      <c r="A273" t="s">
        <v>21</v>
      </c>
      <c r="B273" t="s">
        <v>28</v>
      </c>
      <c r="C273">
        <v>853</v>
      </c>
      <c r="D273">
        <v>5</v>
      </c>
      <c r="E273">
        <v>2.2000000000000002</v>
      </c>
      <c r="F273" s="1">
        <v>43800</v>
      </c>
      <c r="G273">
        <v>12</v>
      </c>
      <c r="H273" t="s">
        <v>20</v>
      </c>
      <c r="I273">
        <v>2019</v>
      </c>
      <c r="J273">
        <f t="shared" si="4"/>
        <v>4265</v>
      </c>
    </row>
    <row r="274" spans="1:10" x14ac:dyDescent="0.25">
      <c r="A274" t="s">
        <v>18</v>
      </c>
      <c r="B274" t="s">
        <v>28</v>
      </c>
      <c r="C274">
        <v>3199.5</v>
      </c>
      <c r="D274">
        <v>5</v>
      </c>
      <c r="E274">
        <v>2.2000000000000002</v>
      </c>
      <c r="F274" s="1">
        <v>43647</v>
      </c>
      <c r="G274">
        <v>7</v>
      </c>
      <c r="H274" t="s">
        <v>15</v>
      </c>
      <c r="I274">
        <v>2019</v>
      </c>
      <c r="J274">
        <f t="shared" si="4"/>
        <v>15997.5</v>
      </c>
    </row>
    <row r="275" spans="1:10" x14ac:dyDescent="0.25">
      <c r="A275" t="s">
        <v>14</v>
      </c>
      <c r="B275" t="s">
        <v>28</v>
      </c>
      <c r="C275">
        <v>472</v>
      </c>
      <c r="D275">
        <v>5</v>
      </c>
      <c r="E275">
        <v>2.2000000000000002</v>
      </c>
      <c r="F275" s="1">
        <v>43739</v>
      </c>
      <c r="G275">
        <v>10</v>
      </c>
      <c r="H275" t="s">
        <v>19</v>
      </c>
      <c r="I275">
        <v>2019</v>
      </c>
      <c r="J275">
        <f t="shared" si="4"/>
        <v>2360</v>
      </c>
    </row>
    <row r="276" spans="1:10" x14ac:dyDescent="0.25">
      <c r="A276" t="s">
        <v>14</v>
      </c>
      <c r="B276" t="s">
        <v>28</v>
      </c>
      <c r="C276">
        <v>3165</v>
      </c>
      <c r="D276">
        <v>5</v>
      </c>
      <c r="E276">
        <v>2.2000000000000002</v>
      </c>
      <c r="F276" s="1">
        <v>43466</v>
      </c>
      <c r="G276">
        <v>1</v>
      </c>
      <c r="H276" t="s">
        <v>22</v>
      </c>
      <c r="I276">
        <v>2019</v>
      </c>
      <c r="J276">
        <f t="shared" si="4"/>
        <v>15825</v>
      </c>
    </row>
    <row r="277" spans="1:10" x14ac:dyDescent="0.25">
      <c r="A277" t="s">
        <v>12</v>
      </c>
      <c r="B277" t="s">
        <v>28</v>
      </c>
      <c r="C277">
        <v>2629</v>
      </c>
      <c r="D277">
        <v>5</v>
      </c>
      <c r="E277">
        <v>2.2000000000000002</v>
      </c>
      <c r="F277" s="1">
        <v>43466</v>
      </c>
      <c r="G277">
        <v>1</v>
      </c>
      <c r="H277" t="s">
        <v>22</v>
      </c>
      <c r="I277">
        <v>2019</v>
      </c>
      <c r="J277">
        <f t="shared" si="4"/>
        <v>13145</v>
      </c>
    </row>
    <row r="278" spans="1:10" x14ac:dyDescent="0.25">
      <c r="A278" t="s">
        <v>21</v>
      </c>
      <c r="B278" t="s">
        <v>28</v>
      </c>
      <c r="C278">
        <v>1433</v>
      </c>
      <c r="D278">
        <v>5</v>
      </c>
      <c r="E278">
        <v>2.2000000000000002</v>
      </c>
      <c r="F278" s="1">
        <v>43586</v>
      </c>
      <c r="G278">
        <v>5</v>
      </c>
      <c r="H278" t="s">
        <v>23</v>
      </c>
      <c r="I278">
        <v>2019</v>
      </c>
      <c r="J278">
        <f t="shared" si="4"/>
        <v>7165</v>
      </c>
    </row>
    <row r="279" spans="1:10" x14ac:dyDescent="0.25">
      <c r="A279" t="s">
        <v>12</v>
      </c>
      <c r="B279" t="s">
        <v>28</v>
      </c>
      <c r="C279">
        <v>2157</v>
      </c>
      <c r="D279">
        <v>5</v>
      </c>
      <c r="E279">
        <v>2.2000000000000002</v>
      </c>
      <c r="F279" s="1">
        <v>43800</v>
      </c>
      <c r="G279">
        <v>12</v>
      </c>
      <c r="H279" t="s">
        <v>20</v>
      </c>
      <c r="I279">
        <v>2019</v>
      </c>
      <c r="J279">
        <f t="shared" si="4"/>
        <v>10785</v>
      </c>
    </row>
    <row r="280" spans="1:10" x14ac:dyDescent="0.25">
      <c r="A280" t="s">
        <v>18</v>
      </c>
      <c r="B280" t="s">
        <v>28</v>
      </c>
      <c r="C280">
        <v>270</v>
      </c>
      <c r="D280">
        <v>5</v>
      </c>
      <c r="E280">
        <v>2.2000000000000002</v>
      </c>
      <c r="F280" s="1">
        <v>43497</v>
      </c>
      <c r="G280">
        <v>2</v>
      </c>
      <c r="H280" t="s">
        <v>11</v>
      </c>
      <c r="I280">
        <v>2019</v>
      </c>
      <c r="J280">
        <f t="shared" si="4"/>
        <v>1350</v>
      </c>
    </row>
    <row r="281" spans="1:10" x14ac:dyDescent="0.25">
      <c r="A281" t="s">
        <v>21</v>
      </c>
      <c r="B281" t="s">
        <v>28</v>
      </c>
      <c r="C281">
        <v>3421.5</v>
      </c>
      <c r="D281">
        <v>5</v>
      </c>
      <c r="E281">
        <v>2.2000000000000002</v>
      </c>
      <c r="F281" s="1">
        <v>43647</v>
      </c>
      <c r="G281">
        <v>7</v>
      </c>
      <c r="H281" t="s">
        <v>15</v>
      </c>
      <c r="I281">
        <v>2019</v>
      </c>
      <c r="J281">
        <f t="shared" si="4"/>
        <v>17107.5</v>
      </c>
    </row>
    <row r="282" spans="1:10" x14ac:dyDescent="0.25">
      <c r="A282" t="s">
        <v>9</v>
      </c>
      <c r="B282" t="s">
        <v>28</v>
      </c>
      <c r="C282">
        <v>2734</v>
      </c>
      <c r="D282">
        <v>5</v>
      </c>
      <c r="E282">
        <v>2.2000000000000002</v>
      </c>
      <c r="F282" s="1">
        <v>43739</v>
      </c>
      <c r="G282">
        <v>10</v>
      </c>
      <c r="H282" t="s">
        <v>19</v>
      </c>
      <c r="I282">
        <v>2019</v>
      </c>
      <c r="J282">
        <f t="shared" si="4"/>
        <v>13670</v>
      </c>
    </row>
    <row r="283" spans="1:10" x14ac:dyDescent="0.25">
      <c r="A283" t="s">
        <v>9</v>
      </c>
      <c r="B283" t="s">
        <v>28</v>
      </c>
      <c r="C283">
        <v>1659</v>
      </c>
      <c r="D283">
        <v>5</v>
      </c>
      <c r="E283">
        <v>2.2000000000000002</v>
      </c>
      <c r="F283" s="1">
        <v>43466</v>
      </c>
      <c r="G283">
        <v>1</v>
      </c>
      <c r="H283" t="s">
        <v>22</v>
      </c>
      <c r="I283">
        <v>2019</v>
      </c>
      <c r="J283">
        <f t="shared" si="4"/>
        <v>8295</v>
      </c>
    </row>
    <row r="284" spans="1:10" x14ac:dyDescent="0.25">
      <c r="A284" t="s">
        <v>21</v>
      </c>
      <c r="B284" t="s">
        <v>28</v>
      </c>
      <c r="C284">
        <v>1190</v>
      </c>
      <c r="D284">
        <v>5</v>
      </c>
      <c r="E284">
        <v>2.2000000000000002</v>
      </c>
      <c r="F284" s="1">
        <v>43617</v>
      </c>
      <c r="G284">
        <v>6</v>
      </c>
      <c r="H284" t="s">
        <v>13</v>
      </c>
      <c r="I284">
        <v>2019</v>
      </c>
      <c r="J284">
        <f t="shared" si="4"/>
        <v>5950</v>
      </c>
    </row>
    <row r="285" spans="1:10" x14ac:dyDescent="0.25">
      <c r="A285" t="s">
        <v>12</v>
      </c>
      <c r="B285" t="s">
        <v>28</v>
      </c>
      <c r="C285">
        <v>410</v>
      </c>
      <c r="D285">
        <v>5</v>
      </c>
      <c r="E285">
        <v>2.2000000000000002</v>
      </c>
      <c r="F285" s="1">
        <v>43739</v>
      </c>
      <c r="G285">
        <v>10</v>
      </c>
      <c r="H285" t="s">
        <v>19</v>
      </c>
      <c r="I285">
        <v>2019</v>
      </c>
      <c r="J285">
        <f t="shared" si="4"/>
        <v>2050</v>
      </c>
    </row>
    <row r="286" spans="1:10" x14ac:dyDescent="0.25">
      <c r="A286" t="s">
        <v>21</v>
      </c>
      <c r="B286" t="s">
        <v>28</v>
      </c>
      <c r="C286">
        <v>1393</v>
      </c>
      <c r="D286">
        <v>5</v>
      </c>
      <c r="E286">
        <v>2.2000000000000002</v>
      </c>
      <c r="F286" s="1">
        <v>43739</v>
      </c>
      <c r="G286">
        <v>10</v>
      </c>
      <c r="H286" t="s">
        <v>19</v>
      </c>
      <c r="I286">
        <v>2019</v>
      </c>
      <c r="J286">
        <f t="shared" si="4"/>
        <v>6965</v>
      </c>
    </row>
    <row r="287" spans="1:10" x14ac:dyDescent="0.25">
      <c r="A287" t="s">
        <v>9</v>
      </c>
      <c r="B287" t="s">
        <v>28</v>
      </c>
      <c r="C287">
        <v>888</v>
      </c>
      <c r="D287">
        <v>5</v>
      </c>
      <c r="E287">
        <v>2.2000000000000002</v>
      </c>
      <c r="F287" s="1">
        <v>43525</v>
      </c>
      <c r="G287">
        <v>3</v>
      </c>
      <c r="H287" t="s">
        <v>26</v>
      </c>
      <c r="I287">
        <v>2019</v>
      </c>
      <c r="J287">
        <f t="shared" si="4"/>
        <v>4440</v>
      </c>
    </row>
    <row r="288" spans="1:10" x14ac:dyDescent="0.25">
      <c r="A288" t="s">
        <v>18</v>
      </c>
      <c r="B288" t="s">
        <v>28</v>
      </c>
      <c r="C288">
        <v>2844</v>
      </c>
      <c r="D288">
        <v>5</v>
      </c>
      <c r="E288">
        <v>2.2000000000000002</v>
      </c>
      <c r="F288" s="1">
        <v>43586</v>
      </c>
      <c r="G288">
        <v>5</v>
      </c>
      <c r="H288" t="s">
        <v>23</v>
      </c>
      <c r="I288">
        <v>2019</v>
      </c>
      <c r="J288">
        <f t="shared" si="4"/>
        <v>14220</v>
      </c>
    </row>
    <row r="289" spans="1:10" x14ac:dyDescent="0.25">
      <c r="A289" t="s">
        <v>21</v>
      </c>
      <c r="B289" t="s">
        <v>28</v>
      </c>
      <c r="C289">
        <v>2475</v>
      </c>
      <c r="D289">
        <v>5</v>
      </c>
      <c r="E289">
        <v>2.2000000000000002</v>
      </c>
      <c r="F289" s="1">
        <v>43678</v>
      </c>
      <c r="G289">
        <v>8</v>
      </c>
      <c r="H289" t="s">
        <v>16</v>
      </c>
      <c r="I289">
        <v>2019</v>
      </c>
      <c r="J289">
        <f t="shared" si="4"/>
        <v>12375</v>
      </c>
    </row>
    <row r="290" spans="1:10" x14ac:dyDescent="0.25">
      <c r="A290" t="s">
        <v>18</v>
      </c>
      <c r="B290" t="s">
        <v>28</v>
      </c>
      <c r="C290">
        <v>2914</v>
      </c>
      <c r="D290">
        <v>5</v>
      </c>
      <c r="E290">
        <v>2.2000000000000002</v>
      </c>
      <c r="F290" s="1">
        <v>43739</v>
      </c>
      <c r="G290">
        <v>10</v>
      </c>
      <c r="H290" t="s">
        <v>19</v>
      </c>
      <c r="I290">
        <v>2019</v>
      </c>
      <c r="J290">
        <f t="shared" si="4"/>
        <v>14570</v>
      </c>
    </row>
    <row r="291" spans="1:10" x14ac:dyDescent="0.25">
      <c r="A291" t="s">
        <v>21</v>
      </c>
      <c r="B291" t="s">
        <v>28</v>
      </c>
      <c r="C291">
        <v>1731</v>
      </c>
      <c r="D291">
        <v>5</v>
      </c>
      <c r="E291">
        <v>2.2000000000000002</v>
      </c>
      <c r="F291" s="1">
        <v>43739</v>
      </c>
      <c r="G291">
        <v>10</v>
      </c>
      <c r="H291" t="s">
        <v>19</v>
      </c>
      <c r="I291">
        <v>2019</v>
      </c>
      <c r="J291">
        <f t="shared" si="4"/>
        <v>8655</v>
      </c>
    </row>
    <row r="292" spans="1:10" x14ac:dyDescent="0.25">
      <c r="A292" t="s">
        <v>21</v>
      </c>
      <c r="B292" t="s">
        <v>28</v>
      </c>
      <c r="C292">
        <v>2475</v>
      </c>
      <c r="D292">
        <v>5</v>
      </c>
      <c r="E292">
        <v>2.2000000000000002</v>
      </c>
      <c r="F292" s="1">
        <v>43525</v>
      </c>
      <c r="G292">
        <v>3</v>
      </c>
      <c r="H292" t="s">
        <v>26</v>
      </c>
      <c r="I292">
        <v>2019</v>
      </c>
      <c r="J292">
        <f t="shared" si="4"/>
        <v>12375</v>
      </c>
    </row>
    <row r="293" spans="1:10" x14ac:dyDescent="0.25">
      <c r="A293" t="s">
        <v>12</v>
      </c>
      <c r="B293" t="s">
        <v>28</v>
      </c>
      <c r="C293">
        <v>546</v>
      </c>
      <c r="D293">
        <v>5</v>
      </c>
      <c r="E293">
        <v>2.2000000000000002</v>
      </c>
      <c r="F293" s="1">
        <v>43739</v>
      </c>
      <c r="G293">
        <v>10</v>
      </c>
      <c r="H293" t="s">
        <v>19</v>
      </c>
      <c r="I293">
        <v>2019</v>
      </c>
      <c r="J293">
        <f t="shared" si="4"/>
        <v>2730</v>
      </c>
    </row>
    <row r="294" spans="1:10" x14ac:dyDescent="0.25">
      <c r="A294" t="s">
        <v>9</v>
      </c>
      <c r="B294" t="s">
        <v>29</v>
      </c>
      <c r="C294">
        <v>1618.5</v>
      </c>
      <c r="D294">
        <v>4</v>
      </c>
      <c r="E294">
        <v>1.5</v>
      </c>
      <c r="F294" s="1">
        <v>43466</v>
      </c>
      <c r="G294">
        <v>1</v>
      </c>
      <c r="H294" t="s">
        <v>22</v>
      </c>
      <c r="I294">
        <v>2019</v>
      </c>
      <c r="J294">
        <f t="shared" si="4"/>
        <v>6474</v>
      </c>
    </row>
    <row r="295" spans="1:10" x14ac:dyDescent="0.25">
      <c r="A295" t="s">
        <v>14</v>
      </c>
      <c r="B295" t="s">
        <v>29</v>
      </c>
      <c r="C295">
        <v>1321</v>
      </c>
      <c r="D295">
        <v>4</v>
      </c>
      <c r="E295">
        <v>1.5</v>
      </c>
      <c r="F295" s="1">
        <v>43466</v>
      </c>
      <c r="G295">
        <v>1</v>
      </c>
      <c r="H295" t="s">
        <v>22</v>
      </c>
      <c r="I295">
        <v>2019</v>
      </c>
      <c r="J295">
        <f t="shared" si="4"/>
        <v>5284</v>
      </c>
    </row>
    <row r="296" spans="1:10" x14ac:dyDescent="0.25">
      <c r="A296" t="s">
        <v>21</v>
      </c>
      <c r="B296" t="s">
        <v>29</v>
      </c>
      <c r="C296">
        <v>2178</v>
      </c>
      <c r="D296">
        <v>4</v>
      </c>
      <c r="E296">
        <v>1.5</v>
      </c>
      <c r="F296" s="1">
        <v>43617</v>
      </c>
      <c r="G296">
        <v>6</v>
      </c>
      <c r="H296" t="s">
        <v>13</v>
      </c>
      <c r="I296">
        <v>2019</v>
      </c>
      <c r="J296">
        <f t="shared" si="4"/>
        <v>8712</v>
      </c>
    </row>
    <row r="297" spans="1:10" x14ac:dyDescent="0.25">
      <c r="A297" t="s">
        <v>14</v>
      </c>
      <c r="B297" t="s">
        <v>29</v>
      </c>
      <c r="C297">
        <v>888</v>
      </c>
      <c r="D297">
        <v>4</v>
      </c>
      <c r="E297">
        <v>1.5</v>
      </c>
      <c r="F297" s="1">
        <v>43617</v>
      </c>
      <c r="G297">
        <v>6</v>
      </c>
      <c r="H297" t="s">
        <v>13</v>
      </c>
      <c r="I297">
        <v>2019</v>
      </c>
      <c r="J297">
        <f t="shared" si="4"/>
        <v>3552</v>
      </c>
    </row>
    <row r="298" spans="1:10" x14ac:dyDescent="0.25">
      <c r="A298" t="s">
        <v>12</v>
      </c>
      <c r="B298" t="s">
        <v>29</v>
      </c>
      <c r="C298">
        <v>2470</v>
      </c>
      <c r="D298">
        <v>4</v>
      </c>
      <c r="E298">
        <v>1.5</v>
      </c>
      <c r="F298" s="1">
        <v>43617</v>
      </c>
      <c r="G298">
        <v>6</v>
      </c>
      <c r="H298" t="s">
        <v>13</v>
      </c>
      <c r="I298">
        <v>2019</v>
      </c>
      <c r="J298">
        <f t="shared" si="4"/>
        <v>9880</v>
      </c>
    </row>
    <row r="299" spans="1:10" x14ac:dyDescent="0.25">
      <c r="A299" t="s">
        <v>14</v>
      </c>
      <c r="B299" t="s">
        <v>29</v>
      </c>
      <c r="C299">
        <v>1513</v>
      </c>
      <c r="D299">
        <v>4</v>
      </c>
      <c r="E299">
        <v>1.5</v>
      </c>
      <c r="F299" s="1">
        <v>43800</v>
      </c>
      <c r="G299">
        <v>12</v>
      </c>
      <c r="H299" t="s">
        <v>20</v>
      </c>
      <c r="I299">
        <v>2019</v>
      </c>
      <c r="J299">
        <f t="shared" si="4"/>
        <v>6052</v>
      </c>
    </row>
    <row r="300" spans="1:10" x14ac:dyDescent="0.25">
      <c r="A300" t="s">
        <v>18</v>
      </c>
      <c r="B300" t="s">
        <v>29</v>
      </c>
      <c r="C300">
        <v>1858</v>
      </c>
      <c r="D300">
        <v>4</v>
      </c>
      <c r="E300">
        <v>1.5</v>
      </c>
      <c r="F300" s="1">
        <v>43497</v>
      </c>
      <c r="G300">
        <v>2</v>
      </c>
      <c r="H300" t="s">
        <v>11</v>
      </c>
      <c r="I300">
        <v>2019</v>
      </c>
      <c r="J300">
        <f t="shared" si="4"/>
        <v>7432</v>
      </c>
    </row>
    <row r="301" spans="1:10" x14ac:dyDescent="0.25">
      <c r="A301" t="s">
        <v>12</v>
      </c>
      <c r="B301" t="s">
        <v>29</v>
      </c>
      <c r="C301">
        <v>1210</v>
      </c>
      <c r="D301">
        <v>4</v>
      </c>
      <c r="E301">
        <v>1.5</v>
      </c>
      <c r="F301" s="1">
        <v>43525</v>
      </c>
      <c r="G301">
        <v>3</v>
      </c>
      <c r="H301" t="s">
        <v>26</v>
      </c>
      <c r="I301">
        <v>2019</v>
      </c>
      <c r="J301">
        <f t="shared" si="4"/>
        <v>4840</v>
      </c>
    </row>
    <row r="302" spans="1:10" x14ac:dyDescent="0.25">
      <c r="A302" t="s">
        <v>18</v>
      </c>
      <c r="B302" t="s">
        <v>29</v>
      </c>
      <c r="C302">
        <v>2529</v>
      </c>
      <c r="D302">
        <v>4</v>
      </c>
      <c r="E302">
        <v>1.5</v>
      </c>
      <c r="F302" s="1">
        <v>43647</v>
      </c>
      <c r="G302">
        <v>7</v>
      </c>
      <c r="H302" t="s">
        <v>15</v>
      </c>
      <c r="I302">
        <v>2019</v>
      </c>
      <c r="J302">
        <f t="shared" si="4"/>
        <v>10116</v>
      </c>
    </row>
    <row r="303" spans="1:10" x14ac:dyDescent="0.25">
      <c r="A303" t="s">
        <v>9</v>
      </c>
      <c r="B303" t="s">
        <v>29</v>
      </c>
      <c r="C303">
        <v>1445</v>
      </c>
      <c r="D303">
        <v>4</v>
      </c>
      <c r="E303">
        <v>1.5</v>
      </c>
      <c r="F303" s="1">
        <v>43709</v>
      </c>
      <c r="G303">
        <v>9</v>
      </c>
      <c r="H303" t="s">
        <v>17</v>
      </c>
      <c r="I303">
        <v>2019</v>
      </c>
      <c r="J303">
        <f t="shared" si="4"/>
        <v>5780</v>
      </c>
    </row>
    <row r="304" spans="1:10" x14ac:dyDescent="0.25">
      <c r="A304" t="s">
        <v>21</v>
      </c>
      <c r="B304" t="s">
        <v>29</v>
      </c>
      <c r="C304">
        <v>2671</v>
      </c>
      <c r="D304">
        <v>4</v>
      </c>
      <c r="E304">
        <v>1.5</v>
      </c>
      <c r="F304" s="1">
        <v>43709</v>
      </c>
      <c r="G304">
        <v>9</v>
      </c>
      <c r="H304" t="s">
        <v>17</v>
      </c>
      <c r="I304">
        <v>2019</v>
      </c>
      <c r="J304">
        <f t="shared" si="4"/>
        <v>10684</v>
      </c>
    </row>
    <row r="305" spans="1:10" x14ac:dyDescent="0.25">
      <c r="A305" t="s">
        <v>12</v>
      </c>
      <c r="B305" t="s">
        <v>29</v>
      </c>
      <c r="C305">
        <v>1397</v>
      </c>
      <c r="D305">
        <v>4</v>
      </c>
      <c r="E305">
        <v>1.5</v>
      </c>
      <c r="F305" s="1">
        <v>43739</v>
      </c>
      <c r="G305">
        <v>10</v>
      </c>
      <c r="H305" t="s">
        <v>19</v>
      </c>
      <c r="I305">
        <v>2019</v>
      </c>
      <c r="J305">
        <f t="shared" si="4"/>
        <v>5588</v>
      </c>
    </row>
    <row r="306" spans="1:10" x14ac:dyDescent="0.25">
      <c r="A306" t="s">
        <v>21</v>
      </c>
      <c r="B306" t="s">
        <v>29</v>
      </c>
      <c r="C306">
        <v>2155</v>
      </c>
      <c r="D306">
        <v>4</v>
      </c>
      <c r="E306">
        <v>1.5</v>
      </c>
      <c r="F306" s="1">
        <v>43800</v>
      </c>
      <c r="G306">
        <v>12</v>
      </c>
      <c r="H306" t="s">
        <v>20</v>
      </c>
      <c r="I306">
        <v>2019</v>
      </c>
      <c r="J306">
        <f t="shared" si="4"/>
        <v>8620</v>
      </c>
    </row>
    <row r="307" spans="1:10" x14ac:dyDescent="0.25">
      <c r="A307" t="s">
        <v>9</v>
      </c>
      <c r="B307" t="s">
        <v>29</v>
      </c>
      <c r="C307">
        <v>742.5</v>
      </c>
      <c r="D307">
        <v>4</v>
      </c>
      <c r="E307">
        <v>1.5</v>
      </c>
      <c r="F307" s="1">
        <v>43556</v>
      </c>
      <c r="G307">
        <v>4</v>
      </c>
      <c r="H307" t="s">
        <v>24</v>
      </c>
      <c r="I307">
        <v>2019</v>
      </c>
      <c r="J307">
        <f t="shared" si="4"/>
        <v>2970</v>
      </c>
    </row>
    <row r="308" spans="1:10" x14ac:dyDescent="0.25">
      <c r="A308" t="s">
        <v>9</v>
      </c>
      <c r="B308" t="s">
        <v>29</v>
      </c>
      <c r="C308">
        <v>1295</v>
      </c>
      <c r="D308">
        <v>4</v>
      </c>
      <c r="E308">
        <v>1.5</v>
      </c>
      <c r="F308" s="1">
        <v>43739</v>
      </c>
      <c r="G308">
        <v>10</v>
      </c>
      <c r="H308" t="s">
        <v>19</v>
      </c>
      <c r="I308">
        <v>2019</v>
      </c>
      <c r="J308">
        <f t="shared" si="4"/>
        <v>5180</v>
      </c>
    </row>
    <row r="309" spans="1:10" x14ac:dyDescent="0.25">
      <c r="A309" t="s">
        <v>9</v>
      </c>
      <c r="B309" t="s">
        <v>29</v>
      </c>
      <c r="C309">
        <v>2852</v>
      </c>
      <c r="D309">
        <v>4</v>
      </c>
      <c r="E309">
        <v>1.5</v>
      </c>
      <c r="F309" s="1">
        <v>43800</v>
      </c>
      <c r="G309">
        <v>12</v>
      </c>
      <c r="H309" t="s">
        <v>20</v>
      </c>
      <c r="I309">
        <v>2019</v>
      </c>
      <c r="J309">
        <f t="shared" si="4"/>
        <v>11408</v>
      </c>
    </row>
    <row r="310" spans="1:10" x14ac:dyDescent="0.25">
      <c r="A310" t="s">
        <v>21</v>
      </c>
      <c r="B310" t="s">
        <v>29</v>
      </c>
      <c r="C310">
        <v>4243.5</v>
      </c>
      <c r="D310">
        <v>4</v>
      </c>
      <c r="E310">
        <v>1.5</v>
      </c>
      <c r="F310" s="1">
        <v>43556</v>
      </c>
      <c r="G310">
        <v>4</v>
      </c>
      <c r="H310" t="s">
        <v>24</v>
      </c>
      <c r="I310">
        <v>2019</v>
      </c>
      <c r="J310">
        <f t="shared" si="4"/>
        <v>16974</v>
      </c>
    </row>
    <row r="311" spans="1:10" x14ac:dyDescent="0.25">
      <c r="A311" t="s">
        <v>14</v>
      </c>
      <c r="B311" t="s">
        <v>29</v>
      </c>
      <c r="C311">
        <v>2580</v>
      </c>
      <c r="D311">
        <v>4</v>
      </c>
      <c r="E311">
        <v>1.5</v>
      </c>
      <c r="F311" s="1">
        <v>43556</v>
      </c>
      <c r="G311">
        <v>4</v>
      </c>
      <c r="H311" t="s">
        <v>24</v>
      </c>
      <c r="I311">
        <v>2019</v>
      </c>
      <c r="J311">
        <f t="shared" si="4"/>
        <v>10320</v>
      </c>
    </row>
    <row r="312" spans="1:10" x14ac:dyDescent="0.25">
      <c r="A312" t="s">
        <v>14</v>
      </c>
      <c r="B312" t="s">
        <v>29</v>
      </c>
      <c r="C312">
        <v>689</v>
      </c>
      <c r="D312">
        <v>4</v>
      </c>
      <c r="E312">
        <v>1.5</v>
      </c>
      <c r="F312" s="1">
        <v>43617</v>
      </c>
      <c r="G312">
        <v>6</v>
      </c>
      <c r="H312" t="s">
        <v>13</v>
      </c>
      <c r="I312">
        <v>2019</v>
      </c>
      <c r="J312">
        <f t="shared" si="4"/>
        <v>2756</v>
      </c>
    </row>
    <row r="313" spans="1:10" x14ac:dyDescent="0.25">
      <c r="A313" t="s">
        <v>18</v>
      </c>
      <c r="B313" t="s">
        <v>29</v>
      </c>
      <c r="C313">
        <v>1947</v>
      </c>
      <c r="D313">
        <v>4</v>
      </c>
      <c r="E313">
        <v>1.5</v>
      </c>
      <c r="F313" s="1">
        <v>43709</v>
      </c>
      <c r="G313">
        <v>9</v>
      </c>
      <c r="H313" t="s">
        <v>17</v>
      </c>
      <c r="I313">
        <v>2019</v>
      </c>
      <c r="J313">
        <f t="shared" si="4"/>
        <v>7788</v>
      </c>
    </row>
    <row r="314" spans="1:10" x14ac:dyDescent="0.25">
      <c r="A314" t="s">
        <v>9</v>
      </c>
      <c r="B314" t="s">
        <v>29</v>
      </c>
      <c r="C314">
        <v>831</v>
      </c>
      <c r="D314">
        <v>4</v>
      </c>
      <c r="E314">
        <v>1.5</v>
      </c>
      <c r="F314" s="1">
        <v>43586</v>
      </c>
      <c r="G314">
        <v>5</v>
      </c>
      <c r="H314" t="s">
        <v>23</v>
      </c>
      <c r="I314">
        <v>2019</v>
      </c>
      <c r="J314">
        <f t="shared" si="4"/>
        <v>3324</v>
      </c>
    </row>
    <row r="315" spans="1:10" x14ac:dyDescent="0.25">
      <c r="A315" t="s">
        <v>14</v>
      </c>
      <c r="B315" t="s">
        <v>29</v>
      </c>
      <c r="C315">
        <v>2021</v>
      </c>
      <c r="D315">
        <v>4</v>
      </c>
      <c r="E315">
        <v>1.5</v>
      </c>
      <c r="F315" s="1">
        <v>43739</v>
      </c>
      <c r="G315">
        <v>10</v>
      </c>
      <c r="H315" t="s">
        <v>19</v>
      </c>
      <c r="I315">
        <v>2019</v>
      </c>
      <c r="J315">
        <f t="shared" si="4"/>
        <v>8084</v>
      </c>
    </row>
    <row r="316" spans="1:10" x14ac:dyDescent="0.25">
      <c r="A316" t="s">
        <v>18</v>
      </c>
      <c r="B316" t="s">
        <v>29</v>
      </c>
      <c r="C316">
        <v>274</v>
      </c>
      <c r="D316">
        <v>4</v>
      </c>
      <c r="E316">
        <v>1.5</v>
      </c>
      <c r="F316" s="1">
        <v>43800</v>
      </c>
      <c r="G316">
        <v>12</v>
      </c>
      <c r="H316" t="s">
        <v>20</v>
      </c>
      <c r="I316">
        <v>2019</v>
      </c>
      <c r="J316">
        <f t="shared" si="4"/>
        <v>1096</v>
      </c>
    </row>
    <row r="317" spans="1:10" x14ac:dyDescent="0.25">
      <c r="A317" t="s">
        <v>21</v>
      </c>
      <c r="B317" t="s">
        <v>29</v>
      </c>
      <c r="C317">
        <v>1865</v>
      </c>
      <c r="D317">
        <v>4</v>
      </c>
      <c r="E317">
        <v>1.5</v>
      </c>
      <c r="F317" s="1">
        <v>43497</v>
      </c>
      <c r="G317">
        <v>2</v>
      </c>
      <c r="H317" t="s">
        <v>11</v>
      </c>
      <c r="I317">
        <v>2019</v>
      </c>
      <c r="J317">
        <f t="shared" si="4"/>
        <v>7460</v>
      </c>
    </row>
    <row r="318" spans="1:10" x14ac:dyDescent="0.25">
      <c r="A318" t="s">
        <v>14</v>
      </c>
      <c r="B318" t="s">
        <v>29</v>
      </c>
      <c r="C318">
        <v>1116</v>
      </c>
      <c r="D318">
        <v>4</v>
      </c>
      <c r="E318">
        <v>1.5</v>
      </c>
      <c r="F318" s="1">
        <v>43497</v>
      </c>
      <c r="G318">
        <v>2</v>
      </c>
      <c r="H318" t="s">
        <v>11</v>
      </c>
      <c r="I318">
        <v>2019</v>
      </c>
      <c r="J318">
        <f t="shared" si="4"/>
        <v>4464</v>
      </c>
    </row>
    <row r="319" spans="1:10" x14ac:dyDescent="0.25">
      <c r="A319" t="s">
        <v>21</v>
      </c>
      <c r="B319" t="s">
        <v>29</v>
      </c>
      <c r="C319">
        <v>1563</v>
      </c>
      <c r="D319">
        <v>4</v>
      </c>
      <c r="E319">
        <v>1.5</v>
      </c>
      <c r="F319" s="1">
        <v>43586</v>
      </c>
      <c r="G319">
        <v>5</v>
      </c>
      <c r="H319" t="s">
        <v>23</v>
      </c>
      <c r="I319">
        <v>2019</v>
      </c>
      <c r="J319">
        <f t="shared" si="4"/>
        <v>6252</v>
      </c>
    </row>
    <row r="320" spans="1:10" x14ac:dyDescent="0.25">
      <c r="A320" t="s">
        <v>18</v>
      </c>
      <c r="B320" t="s">
        <v>29</v>
      </c>
      <c r="C320">
        <v>991</v>
      </c>
      <c r="D320">
        <v>4</v>
      </c>
      <c r="E320">
        <v>1.5</v>
      </c>
      <c r="F320" s="1">
        <v>43617</v>
      </c>
      <c r="G320">
        <v>6</v>
      </c>
      <c r="H320" t="s">
        <v>13</v>
      </c>
      <c r="I320">
        <v>2019</v>
      </c>
      <c r="J320">
        <f t="shared" si="4"/>
        <v>3964</v>
      </c>
    </row>
    <row r="321" spans="1:10" x14ac:dyDescent="0.25">
      <c r="A321" t="s">
        <v>12</v>
      </c>
      <c r="B321" t="s">
        <v>29</v>
      </c>
      <c r="C321">
        <v>2791</v>
      </c>
      <c r="D321">
        <v>4</v>
      </c>
      <c r="E321">
        <v>1.5</v>
      </c>
      <c r="F321" s="1">
        <v>43770</v>
      </c>
      <c r="G321">
        <v>11</v>
      </c>
      <c r="H321" t="s">
        <v>25</v>
      </c>
      <c r="I321">
        <v>2019</v>
      </c>
      <c r="J321">
        <f t="shared" si="4"/>
        <v>11164</v>
      </c>
    </row>
    <row r="322" spans="1:10" x14ac:dyDescent="0.25">
      <c r="A322" t="s">
        <v>18</v>
      </c>
      <c r="B322" t="s">
        <v>29</v>
      </c>
      <c r="C322">
        <v>570</v>
      </c>
      <c r="D322">
        <v>4</v>
      </c>
      <c r="E322">
        <v>1.5</v>
      </c>
      <c r="F322" s="1">
        <v>43800</v>
      </c>
      <c r="G322">
        <v>12</v>
      </c>
      <c r="H322" t="s">
        <v>20</v>
      </c>
      <c r="I322">
        <v>2019</v>
      </c>
      <c r="J322">
        <f t="shared" si="4"/>
        <v>2280</v>
      </c>
    </row>
    <row r="323" spans="1:10" x14ac:dyDescent="0.25">
      <c r="A323" t="s">
        <v>21</v>
      </c>
      <c r="B323" t="s">
        <v>29</v>
      </c>
      <c r="C323">
        <v>2487</v>
      </c>
      <c r="D323">
        <v>4</v>
      </c>
      <c r="E323">
        <v>1.5</v>
      </c>
      <c r="F323" s="1">
        <v>43800</v>
      </c>
      <c r="G323">
        <v>12</v>
      </c>
      <c r="H323" t="s">
        <v>20</v>
      </c>
      <c r="I323">
        <v>2019</v>
      </c>
      <c r="J323">
        <f t="shared" ref="J323:J386" si="5">C323*D323</f>
        <v>9948</v>
      </c>
    </row>
    <row r="324" spans="1:10" x14ac:dyDescent="0.25">
      <c r="A324" t="s">
        <v>18</v>
      </c>
      <c r="B324" t="s">
        <v>29</v>
      </c>
      <c r="C324">
        <v>1117.5</v>
      </c>
      <c r="D324">
        <v>4</v>
      </c>
      <c r="E324">
        <v>1.5</v>
      </c>
      <c r="F324" s="1">
        <v>43466</v>
      </c>
      <c r="G324">
        <v>1</v>
      </c>
      <c r="H324" t="s">
        <v>22</v>
      </c>
      <c r="I324">
        <v>2019</v>
      </c>
      <c r="J324">
        <f t="shared" si="5"/>
        <v>4470</v>
      </c>
    </row>
    <row r="325" spans="1:10" x14ac:dyDescent="0.25">
      <c r="A325" t="s">
        <v>9</v>
      </c>
      <c r="B325" t="s">
        <v>29</v>
      </c>
      <c r="C325">
        <v>2844</v>
      </c>
      <c r="D325">
        <v>4</v>
      </c>
      <c r="E325">
        <v>1.5</v>
      </c>
      <c r="F325" s="1">
        <v>43617</v>
      </c>
      <c r="G325">
        <v>6</v>
      </c>
      <c r="H325" t="s">
        <v>13</v>
      </c>
      <c r="I325">
        <v>2019</v>
      </c>
      <c r="J325">
        <f t="shared" si="5"/>
        <v>11376</v>
      </c>
    </row>
    <row r="326" spans="1:10" x14ac:dyDescent="0.25">
      <c r="A326" t="s">
        <v>12</v>
      </c>
      <c r="B326" t="s">
        <v>29</v>
      </c>
      <c r="C326">
        <v>562</v>
      </c>
      <c r="D326">
        <v>4</v>
      </c>
      <c r="E326">
        <v>1.5</v>
      </c>
      <c r="F326" s="1">
        <v>43709</v>
      </c>
      <c r="G326">
        <v>9</v>
      </c>
      <c r="H326" t="s">
        <v>17</v>
      </c>
      <c r="I326">
        <v>2019</v>
      </c>
      <c r="J326">
        <f t="shared" si="5"/>
        <v>2248</v>
      </c>
    </row>
    <row r="327" spans="1:10" x14ac:dyDescent="0.25">
      <c r="A327" t="s">
        <v>18</v>
      </c>
      <c r="B327" t="s">
        <v>29</v>
      </c>
      <c r="C327">
        <v>2030</v>
      </c>
      <c r="D327">
        <v>4</v>
      </c>
      <c r="E327">
        <v>1.5</v>
      </c>
      <c r="F327" s="1">
        <v>43770</v>
      </c>
      <c r="G327">
        <v>11</v>
      </c>
      <c r="H327" t="s">
        <v>25</v>
      </c>
      <c r="I327">
        <v>2019</v>
      </c>
      <c r="J327">
        <f t="shared" si="5"/>
        <v>8120</v>
      </c>
    </row>
    <row r="328" spans="1:10" x14ac:dyDescent="0.25">
      <c r="A328" t="s">
        <v>12</v>
      </c>
      <c r="B328" t="s">
        <v>29</v>
      </c>
      <c r="C328">
        <v>727</v>
      </c>
      <c r="D328">
        <v>4</v>
      </c>
      <c r="E328">
        <v>1.5</v>
      </c>
      <c r="F328" s="1">
        <v>43497</v>
      </c>
      <c r="G328">
        <v>2</v>
      </c>
      <c r="H328" t="s">
        <v>11</v>
      </c>
      <c r="I328">
        <v>2019</v>
      </c>
      <c r="J328">
        <f t="shared" si="5"/>
        <v>2908</v>
      </c>
    </row>
    <row r="329" spans="1:10" x14ac:dyDescent="0.25">
      <c r="A329" t="s">
        <v>9</v>
      </c>
      <c r="B329" t="s">
        <v>29</v>
      </c>
      <c r="C329">
        <v>1884</v>
      </c>
      <c r="D329">
        <v>4</v>
      </c>
      <c r="E329">
        <v>1.5</v>
      </c>
      <c r="F329" s="1">
        <v>43678</v>
      </c>
      <c r="G329">
        <v>8</v>
      </c>
      <c r="H329" t="s">
        <v>16</v>
      </c>
      <c r="I329">
        <v>2019</v>
      </c>
      <c r="J329">
        <f t="shared" si="5"/>
        <v>7536</v>
      </c>
    </row>
    <row r="330" spans="1:10" x14ac:dyDescent="0.25">
      <c r="A330" t="s">
        <v>18</v>
      </c>
      <c r="B330" t="s">
        <v>29</v>
      </c>
      <c r="C330">
        <v>1761</v>
      </c>
      <c r="D330">
        <v>4</v>
      </c>
      <c r="E330">
        <v>1.5</v>
      </c>
      <c r="F330" s="1">
        <v>43525</v>
      </c>
      <c r="G330">
        <v>3</v>
      </c>
      <c r="H330" t="s">
        <v>26</v>
      </c>
      <c r="I330">
        <v>2019</v>
      </c>
      <c r="J330">
        <f t="shared" si="5"/>
        <v>7044</v>
      </c>
    </row>
    <row r="331" spans="1:10" x14ac:dyDescent="0.25">
      <c r="A331" t="s">
        <v>21</v>
      </c>
      <c r="B331" t="s">
        <v>29</v>
      </c>
      <c r="C331">
        <v>448</v>
      </c>
      <c r="D331">
        <v>4</v>
      </c>
      <c r="E331">
        <v>1.5</v>
      </c>
      <c r="F331" s="1">
        <v>43617</v>
      </c>
      <c r="G331">
        <v>6</v>
      </c>
      <c r="H331" t="s">
        <v>13</v>
      </c>
      <c r="I331">
        <v>2019</v>
      </c>
      <c r="J331">
        <f t="shared" si="5"/>
        <v>1792</v>
      </c>
    </row>
    <row r="332" spans="1:10" x14ac:dyDescent="0.25">
      <c r="A332" t="s">
        <v>21</v>
      </c>
      <c r="B332" t="s">
        <v>29</v>
      </c>
      <c r="C332">
        <v>2181</v>
      </c>
      <c r="D332">
        <v>4</v>
      </c>
      <c r="E332">
        <v>1.5</v>
      </c>
      <c r="F332" s="1">
        <v>43739</v>
      </c>
      <c r="G332">
        <v>10</v>
      </c>
      <c r="H332" t="s">
        <v>19</v>
      </c>
      <c r="I332">
        <v>2019</v>
      </c>
      <c r="J332">
        <f t="shared" si="5"/>
        <v>8724</v>
      </c>
    </row>
    <row r="333" spans="1:10" x14ac:dyDescent="0.25">
      <c r="A333" t="s">
        <v>12</v>
      </c>
      <c r="B333" t="s">
        <v>29</v>
      </c>
      <c r="C333">
        <v>1540</v>
      </c>
      <c r="D333">
        <v>4</v>
      </c>
      <c r="E333">
        <v>1.5</v>
      </c>
      <c r="F333" s="1">
        <v>43678</v>
      </c>
      <c r="G333">
        <v>8</v>
      </c>
      <c r="H333" t="s">
        <v>16</v>
      </c>
      <c r="I333">
        <v>2019</v>
      </c>
      <c r="J333">
        <f t="shared" si="5"/>
        <v>6160</v>
      </c>
    </row>
    <row r="334" spans="1:10" x14ac:dyDescent="0.25">
      <c r="A334" t="s">
        <v>21</v>
      </c>
      <c r="B334" t="s">
        <v>29</v>
      </c>
      <c r="C334">
        <v>490</v>
      </c>
      <c r="D334">
        <v>4</v>
      </c>
      <c r="E334">
        <v>1.5</v>
      </c>
      <c r="F334" s="1">
        <v>43770</v>
      </c>
      <c r="G334">
        <v>11</v>
      </c>
      <c r="H334" t="s">
        <v>25</v>
      </c>
      <c r="I334">
        <v>2019</v>
      </c>
      <c r="J334">
        <f t="shared" si="5"/>
        <v>1960</v>
      </c>
    </row>
    <row r="335" spans="1:10" x14ac:dyDescent="0.25">
      <c r="A335" t="s">
        <v>12</v>
      </c>
      <c r="B335" t="s">
        <v>29</v>
      </c>
      <c r="C335">
        <v>1362</v>
      </c>
      <c r="D335">
        <v>4</v>
      </c>
      <c r="E335">
        <v>1.5</v>
      </c>
      <c r="F335" s="1">
        <v>43800</v>
      </c>
      <c r="G335">
        <v>12</v>
      </c>
      <c r="H335" t="s">
        <v>20</v>
      </c>
      <c r="I335">
        <v>2019</v>
      </c>
      <c r="J335">
        <f t="shared" si="5"/>
        <v>5448</v>
      </c>
    </row>
    <row r="336" spans="1:10" x14ac:dyDescent="0.25">
      <c r="A336" t="s">
        <v>9</v>
      </c>
      <c r="B336" t="s">
        <v>29</v>
      </c>
      <c r="C336">
        <v>1094</v>
      </c>
      <c r="D336">
        <v>4</v>
      </c>
      <c r="E336">
        <v>1.5</v>
      </c>
      <c r="F336" s="1">
        <v>43617</v>
      </c>
      <c r="G336">
        <v>6</v>
      </c>
      <c r="H336" t="s">
        <v>13</v>
      </c>
      <c r="I336">
        <v>2019</v>
      </c>
      <c r="J336">
        <f t="shared" si="5"/>
        <v>4376</v>
      </c>
    </row>
    <row r="337" spans="1:10" x14ac:dyDescent="0.25">
      <c r="A337" t="s">
        <v>14</v>
      </c>
      <c r="B337" t="s">
        <v>29</v>
      </c>
      <c r="C337">
        <v>663</v>
      </c>
      <c r="D337">
        <v>4</v>
      </c>
      <c r="E337">
        <v>1.5</v>
      </c>
      <c r="F337" s="1">
        <v>43586</v>
      </c>
      <c r="G337">
        <v>5</v>
      </c>
      <c r="H337" t="s">
        <v>23</v>
      </c>
      <c r="I337">
        <v>2019</v>
      </c>
      <c r="J337">
        <f t="shared" si="5"/>
        <v>2652</v>
      </c>
    </row>
    <row r="338" spans="1:10" x14ac:dyDescent="0.25">
      <c r="A338" t="s">
        <v>9</v>
      </c>
      <c r="B338" t="s">
        <v>29</v>
      </c>
      <c r="C338">
        <v>819</v>
      </c>
      <c r="D338">
        <v>4</v>
      </c>
      <c r="E338">
        <v>1.5</v>
      </c>
      <c r="F338" s="1">
        <v>43647</v>
      </c>
      <c r="G338">
        <v>7</v>
      </c>
      <c r="H338" t="s">
        <v>15</v>
      </c>
      <c r="I338">
        <v>2019</v>
      </c>
      <c r="J338">
        <f t="shared" si="5"/>
        <v>3276</v>
      </c>
    </row>
    <row r="339" spans="1:10" x14ac:dyDescent="0.25">
      <c r="A339" t="s">
        <v>14</v>
      </c>
      <c r="B339" t="s">
        <v>29</v>
      </c>
      <c r="C339">
        <v>1580</v>
      </c>
      <c r="D339">
        <v>4</v>
      </c>
      <c r="E339">
        <v>1.5</v>
      </c>
      <c r="F339" s="1">
        <v>43709</v>
      </c>
      <c r="G339">
        <v>9</v>
      </c>
      <c r="H339" t="s">
        <v>17</v>
      </c>
      <c r="I339">
        <v>2019</v>
      </c>
      <c r="J339">
        <f t="shared" si="5"/>
        <v>6320</v>
      </c>
    </row>
    <row r="340" spans="1:10" x14ac:dyDescent="0.25">
      <c r="A340" t="s">
        <v>12</v>
      </c>
      <c r="B340" t="s">
        <v>29</v>
      </c>
      <c r="C340">
        <v>521</v>
      </c>
      <c r="D340">
        <v>4</v>
      </c>
      <c r="E340">
        <v>1.5</v>
      </c>
      <c r="F340" s="1">
        <v>43800</v>
      </c>
      <c r="G340">
        <v>12</v>
      </c>
      <c r="H340" t="s">
        <v>20</v>
      </c>
      <c r="I340">
        <v>2019</v>
      </c>
      <c r="J340">
        <f t="shared" si="5"/>
        <v>2084</v>
      </c>
    </row>
    <row r="341" spans="1:10" x14ac:dyDescent="0.25">
      <c r="A341" t="s">
        <v>18</v>
      </c>
      <c r="B341" t="s">
        <v>29</v>
      </c>
      <c r="C341">
        <v>3445.5</v>
      </c>
      <c r="D341">
        <v>4</v>
      </c>
      <c r="E341">
        <v>1.5</v>
      </c>
      <c r="F341" s="1">
        <v>43556</v>
      </c>
      <c r="G341">
        <v>4</v>
      </c>
      <c r="H341" t="s">
        <v>24</v>
      </c>
      <c r="I341">
        <v>2019</v>
      </c>
      <c r="J341">
        <f t="shared" si="5"/>
        <v>13782</v>
      </c>
    </row>
    <row r="342" spans="1:10" x14ac:dyDescent="0.25">
      <c r="A342" t="s">
        <v>9</v>
      </c>
      <c r="B342" t="s">
        <v>29</v>
      </c>
      <c r="C342">
        <v>1937</v>
      </c>
      <c r="D342">
        <v>4</v>
      </c>
      <c r="E342">
        <v>1.5</v>
      </c>
      <c r="F342" s="1">
        <v>43497</v>
      </c>
      <c r="G342">
        <v>2</v>
      </c>
      <c r="H342" t="s">
        <v>11</v>
      </c>
      <c r="I342">
        <v>2019</v>
      </c>
      <c r="J342">
        <f t="shared" si="5"/>
        <v>7748</v>
      </c>
    </row>
    <row r="343" spans="1:10" x14ac:dyDescent="0.25">
      <c r="A343" t="s">
        <v>14</v>
      </c>
      <c r="B343" t="s">
        <v>29</v>
      </c>
      <c r="C343">
        <v>792</v>
      </c>
      <c r="D343">
        <v>4</v>
      </c>
      <c r="E343">
        <v>1.5</v>
      </c>
      <c r="F343" s="1">
        <v>43525</v>
      </c>
      <c r="G343">
        <v>3</v>
      </c>
      <c r="H343" t="s">
        <v>26</v>
      </c>
      <c r="I343">
        <v>2019</v>
      </c>
      <c r="J343">
        <f t="shared" si="5"/>
        <v>3168</v>
      </c>
    </row>
    <row r="344" spans="1:10" x14ac:dyDescent="0.25">
      <c r="A344" t="s">
        <v>14</v>
      </c>
      <c r="B344" t="s">
        <v>29</v>
      </c>
      <c r="C344">
        <v>2811</v>
      </c>
      <c r="D344">
        <v>4</v>
      </c>
      <c r="E344">
        <v>1.5</v>
      </c>
      <c r="F344" s="1">
        <v>43647</v>
      </c>
      <c r="G344">
        <v>7</v>
      </c>
      <c r="H344" t="s">
        <v>15</v>
      </c>
      <c r="I344">
        <v>2019</v>
      </c>
      <c r="J344">
        <f t="shared" si="5"/>
        <v>11244</v>
      </c>
    </row>
    <row r="345" spans="1:10" x14ac:dyDescent="0.25">
      <c r="A345" t="s">
        <v>21</v>
      </c>
      <c r="B345" t="s">
        <v>29</v>
      </c>
      <c r="C345">
        <v>2441</v>
      </c>
      <c r="D345">
        <v>4</v>
      </c>
      <c r="E345">
        <v>1.5</v>
      </c>
      <c r="F345" s="1">
        <v>43739</v>
      </c>
      <c r="G345">
        <v>10</v>
      </c>
      <c r="H345" t="s">
        <v>19</v>
      </c>
      <c r="I345">
        <v>2019</v>
      </c>
      <c r="J345">
        <f t="shared" si="5"/>
        <v>9764</v>
      </c>
    </row>
    <row r="346" spans="1:10" x14ac:dyDescent="0.25">
      <c r="A346" t="s">
        <v>12</v>
      </c>
      <c r="B346" t="s">
        <v>29</v>
      </c>
      <c r="C346">
        <v>886</v>
      </c>
      <c r="D346">
        <v>4</v>
      </c>
      <c r="E346">
        <v>1.5</v>
      </c>
      <c r="F346" s="1">
        <v>43617</v>
      </c>
      <c r="G346">
        <v>6</v>
      </c>
      <c r="H346" t="s">
        <v>13</v>
      </c>
      <c r="I346">
        <v>2019</v>
      </c>
      <c r="J346">
        <f t="shared" si="5"/>
        <v>3544</v>
      </c>
    </row>
    <row r="347" spans="1:10" x14ac:dyDescent="0.25">
      <c r="A347" t="s">
        <v>12</v>
      </c>
      <c r="B347" t="s">
        <v>29</v>
      </c>
      <c r="C347">
        <v>2156</v>
      </c>
      <c r="D347">
        <v>4</v>
      </c>
      <c r="E347">
        <v>1.5</v>
      </c>
      <c r="F347" s="1">
        <v>43739</v>
      </c>
      <c r="G347">
        <v>10</v>
      </c>
      <c r="H347" t="s">
        <v>19</v>
      </c>
      <c r="I347">
        <v>2019</v>
      </c>
      <c r="J347">
        <f t="shared" si="5"/>
        <v>8624</v>
      </c>
    </row>
    <row r="348" spans="1:10" x14ac:dyDescent="0.25">
      <c r="A348" t="s">
        <v>9</v>
      </c>
      <c r="B348" t="s">
        <v>29</v>
      </c>
      <c r="C348">
        <v>2689</v>
      </c>
      <c r="D348">
        <v>4</v>
      </c>
      <c r="E348">
        <v>1.5</v>
      </c>
      <c r="F348" s="1">
        <v>43770</v>
      </c>
      <c r="G348">
        <v>11</v>
      </c>
      <c r="H348" t="s">
        <v>25</v>
      </c>
      <c r="I348">
        <v>2019</v>
      </c>
      <c r="J348">
        <f t="shared" si="5"/>
        <v>10756</v>
      </c>
    </row>
    <row r="349" spans="1:10" x14ac:dyDescent="0.25">
      <c r="A349" t="s">
        <v>21</v>
      </c>
      <c r="B349" t="s">
        <v>29</v>
      </c>
      <c r="C349">
        <v>2521.5</v>
      </c>
      <c r="D349">
        <v>4</v>
      </c>
      <c r="E349">
        <v>1.5</v>
      </c>
      <c r="F349" s="1">
        <v>43466</v>
      </c>
      <c r="G349">
        <v>1</v>
      </c>
      <c r="H349" t="s">
        <v>22</v>
      </c>
      <c r="I349">
        <v>2019</v>
      </c>
      <c r="J349">
        <f t="shared" si="5"/>
        <v>10086</v>
      </c>
    </row>
    <row r="350" spans="1:10" x14ac:dyDescent="0.25">
      <c r="A350" t="s">
        <v>18</v>
      </c>
      <c r="B350" t="s">
        <v>29</v>
      </c>
      <c r="C350">
        <v>2567</v>
      </c>
      <c r="D350">
        <v>4</v>
      </c>
      <c r="E350">
        <v>1.5</v>
      </c>
      <c r="F350" s="1">
        <v>43617</v>
      </c>
      <c r="G350">
        <v>6</v>
      </c>
      <c r="H350" t="s">
        <v>13</v>
      </c>
      <c r="I350">
        <v>2019</v>
      </c>
      <c r="J350">
        <f t="shared" si="5"/>
        <v>10268</v>
      </c>
    </row>
    <row r="351" spans="1:10" x14ac:dyDescent="0.25">
      <c r="A351" t="s">
        <v>9</v>
      </c>
      <c r="B351" t="s">
        <v>29</v>
      </c>
      <c r="C351">
        <v>923</v>
      </c>
      <c r="D351">
        <v>4</v>
      </c>
      <c r="E351">
        <v>1.5</v>
      </c>
      <c r="F351" s="1">
        <v>43525</v>
      </c>
      <c r="G351">
        <v>3</v>
      </c>
      <c r="H351" t="s">
        <v>26</v>
      </c>
      <c r="I351">
        <v>2019</v>
      </c>
      <c r="J351">
        <f t="shared" si="5"/>
        <v>3692</v>
      </c>
    </row>
    <row r="352" spans="1:10" x14ac:dyDescent="0.25">
      <c r="A352" t="s">
        <v>21</v>
      </c>
      <c r="B352" t="s">
        <v>29</v>
      </c>
      <c r="C352">
        <v>1790</v>
      </c>
      <c r="D352">
        <v>4</v>
      </c>
      <c r="E352">
        <v>1.5</v>
      </c>
      <c r="F352" s="1">
        <v>43525</v>
      </c>
      <c r="G352">
        <v>3</v>
      </c>
      <c r="H352" t="s">
        <v>26</v>
      </c>
      <c r="I352">
        <v>2019</v>
      </c>
      <c r="J352">
        <f t="shared" si="5"/>
        <v>7160</v>
      </c>
    </row>
    <row r="353" spans="1:10" x14ac:dyDescent="0.25">
      <c r="A353" t="s">
        <v>12</v>
      </c>
      <c r="B353" t="s">
        <v>29</v>
      </c>
      <c r="C353">
        <v>2579</v>
      </c>
      <c r="D353">
        <v>4</v>
      </c>
      <c r="E353">
        <v>1.5</v>
      </c>
      <c r="F353" s="1">
        <v>43556</v>
      </c>
      <c r="G353">
        <v>4</v>
      </c>
      <c r="H353" t="s">
        <v>24</v>
      </c>
      <c r="I353">
        <v>2019</v>
      </c>
      <c r="J353">
        <f t="shared" si="5"/>
        <v>10316</v>
      </c>
    </row>
    <row r="354" spans="1:10" x14ac:dyDescent="0.25">
      <c r="A354" t="s">
        <v>18</v>
      </c>
      <c r="B354" t="s">
        <v>29</v>
      </c>
      <c r="C354">
        <v>1743</v>
      </c>
      <c r="D354">
        <v>4</v>
      </c>
      <c r="E354">
        <v>1.5</v>
      </c>
      <c r="F354" s="1">
        <v>43586</v>
      </c>
      <c r="G354">
        <v>5</v>
      </c>
      <c r="H354" t="s">
        <v>23</v>
      </c>
      <c r="I354">
        <v>2019</v>
      </c>
      <c r="J354">
        <f t="shared" si="5"/>
        <v>6972</v>
      </c>
    </row>
    <row r="355" spans="1:10" x14ac:dyDescent="0.25">
      <c r="A355" t="s">
        <v>14</v>
      </c>
      <c r="B355" t="s">
        <v>29</v>
      </c>
      <c r="C355">
        <v>280</v>
      </c>
      <c r="D355">
        <v>4</v>
      </c>
      <c r="E355">
        <v>1.5</v>
      </c>
      <c r="F355" s="1">
        <v>43800</v>
      </c>
      <c r="G355">
        <v>12</v>
      </c>
      <c r="H355" t="s">
        <v>20</v>
      </c>
      <c r="I355">
        <v>2019</v>
      </c>
      <c r="J355">
        <f t="shared" si="5"/>
        <v>1120</v>
      </c>
    </row>
    <row r="356" spans="1:10" x14ac:dyDescent="0.25">
      <c r="A356" t="s">
        <v>12</v>
      </c>
      <c r="B356" t="s">
        <v>29</v>
      </c>
      <c r="C356">
        <v>801</v>
      </c>
      <c r="D356">
        <v>4</v>
      </c>
      <c r="E356">
        <v>1.5</v>
      </c>
      <c r="F356" s="1">
        <v>43647</v>
      </c>
      <c r="G356">
        <v>7</v>
      </c>
      <c r="H356" t="s">
        <v>15</v>
      </c>
      <c r="I356">
        <v>2019</v>
      </c>
      <c r="J356">
        <f t="shared" si="5"/>
        <v>3204</v>
      </c>
    </row>
    <row r="357" spans="1:10" x14ac:dyDescent="0.25">
      <c r="A357" t="s">
        <v>9</v>
      </c>
      <c r="B357" t="s">
        <v>29</v>
      </c>
      <c r="C357">
        <v>1496</v>
      </c>
      <c r="D357">
        <v>4</v>
      </c>
      <c r="E357">
        <v>1.5</v>
      </c>
      <c r="F357" s="1">
        <v>43739</v>
      </c>
      <c r="G357">
        <v>10</v>
      </c>
      <c r="H357" t="s">
        <v>19</v>
      </c>
      <c r="I357">
        <v>2019</v>
      </c>
      <c r="J357">
        <f t="shared" si="5"/>
        <v>5984</v>
      </c>
    </row>
    <row r="358" spans="1:10" x14ac:dyDescent="0.25">
      <c r="A358" t="s">
        <v>18</v>
      </c>
      <c r="B358" t="s">
        <v>29</v>
      </c>
      <c r="C358">
        <v>1010</v>
      </c>
      <c r="D358">
        <v>4</v>
      </c>
      <c r="E358">
        <v>1.5</v>
      </c>
      <c r="F358" s="1">
        <v>43739</v>
      </c>
      <c r="G358">
        <v>10</v>
      </c>
      <c r="H358" t="s">
        <v>19</v>
      </c>
      <c r="I358">
        <v>2019</v>
      </c>
      <c r="J358">
        <f t="shared" si="5"/>
        <v>4040</v>
      </c>
    </row>
    <row r="359" spans="1:10" x14ac:dyDescent="0.25">
      <c r="A359" t="s">
        <v>14</v>
      </c>
      <c r="B359" t="s">
        <v>29</v>
      </c>
      <c r="C359">
        <v>1513</v>
      </c>
      <c r="D359">
        <v>4</v>
      </c>
      <c r="E359">
        <v>1.5</v>
      </c>
      <c r="F359" s="1">
        <v>43770</v>
      </c>
      <c r="G359">
        <v>11</v>
      </c>
      <c r="H359" t="s">
        <v>25</v>
      </c>
      <c r="I359">
        <v>2019</v>
      </c>
      <c r="J359">
        <f t="shared" si="5"/>
        <v>6052</v>
      </c>
    </row>
    <row r="360" spans="1:10" x14ac:dyDescent="0.25">
      <c r="A360" t="s">
        <v>9</v>
      </c>
      <c r="B360" t="s">
        <v>29</v>
      </c>
      <c r="C360">
        <v>2300</v>
      </c>
      <c r="D360">
        <v>4</v>
      </c>
      <c r="E360">
        <v>1.5</v>
      </c>
      <c r="F360" s="1">
        <v>43800</v>
      </c>
      <c r="G360">
        <v>12</v>
      </c>
      <c r="H360" t="s">
        <v>20</v>
      </c>
      <c r="I360">
        <v>2019</v>
      </c>
      <c r="J360">
        <f t="shared" si="5"/>
        <v>9200</v>
      </c>
    </row>
    <row r="361" spans="1:10" x14ac:dyDescent="0.25">
      <c r="A361" t="s">
        <v>21</v>
      </c>
      <c r="B361" t="s">
        <v>29</v>
      </c>
      <c r="C361">
        <v>1174</v>
      </c>
      <c r="D361">
        <v>4</v>
      </c>
      <c r="E361">
        <v>1.5</v>
      </c>
      <c r="F361" s="1">
        <v>43678</v>
      </c>
      <c r="G361">
        <v>8</v>
      </c>
      <c r="H361" t="s">
        <v>16</v>
      </c>
      <c r="I361">
        <v>2019</v>
      </c>
      <c r="J361">
        <f t="shared" si="5"/>
        <v>4696</v>
      </c>
    </row>
    <row r="362" spans="1:10" x14ac:dyDescent="0.25">
      <c r="A362" t="s">
        <v>14</v>
      </c>
      <c r="B362" t="s">
        <v>29</v>
      </c>
      <c r="C362">
        <v>2767</v>
      </c>
      <c r="D362">
        <v>4</v>
      </c>
      <c r="E362">
        <v>1.5</v>
      </c>
      <c r="F362" s="1">
        <v>43678</v>
      </c>
      <c r="G362">
        <v>8</v>
      </c>
      <c r="H362" t="s">
        <v>16</v>
      </c>
      <c r="I362">
        <v>2019</v>
      </c>
      <c r="J362">
        <f t="shared" si="5"/>
        <v>11068</v>
      </c>
    </row>
    <row r="363" spans="1:10" x14ac:dyDescent="0.25">
      <c r="A363" t="s">
        <v>14</v>
      </c>
      <c r="B363" t="s">
        <v>29</v>
      </c>
      <c r="C363">
        <v>1085</v>
      </c>
      <c r="D363">
        <v>4</v>
      </c>
      <c r="E363">
        <v>1.5</v>
      </c>
      <c r="F363" s="1">
        <v>43739</v>
      </c>
      <c r="G363">
        <v>10</v>
      </c>
      <c r="H363" t="s">
        <v>19</v>
      </c>
      <c r="I363">
        <v>2019</v>
      </c>
      <c r="J363">
        <f t="shared" si="5"/>
        <v>4340</v>
      </c>
    </row>
    <row r="364" spans="1:10" x14ac:dyDescent="0.25">
      <c r="A364" t="s">
        <v>9</v>
      </c>
      <c r="B364" t="s">
        <v>30</v>
      </c>
      <c r="C364">
        <v>2001</v>
      </c>
      <c r="D364">
        <v>3</v>
      </c>
      <c r="E364">
        <v>1.25</v>
      </c>
      <c r="F364" s="1">
        <v>43497</v>
      </c>
      <c r="G364">
        <v>2</v>
      </c>
      <c r="H364" t="s">
        <v>11</v>
      </c>
      <c r="I364">
        <v>2019</v>
      </c>
      <c r="J364">
        <f t="shared" si="5"/>
        <v>6003</v>
      </c>
    </row>
    <row r="365" spans="1:10" x14ac:dyDescent="0.25">
      <c r="A365" t="s">
        <v>14</v>
      </c>
      <c r="B365" t="s">
        <v>30</v>
      </c>
      <c r="C365">
        <v>2838</v>
      </c>
      <c r="D365">
        <v>3</v>
      </c>
      <c r="E365">
        <v>1.25</v>
      </c>
      <c r="F365" s="1">
        <v>43556</v>
      </c>
      <c r="G365">
        <v>4</v>
      </c>
      <c r="H365" t="s">
        <v>24</v>
      </c>
      <c r="I365">
        <v>2019</v>
      </c>
      <c r="J365">
        <f t="shared" si="5"/>
        <v>8514</v>
      </c>
    </row>
    <row r="366" spans="1:10" x14ac:dyDescent="0.25">
      <c r="A366" t="s">
        <v>21</v>
      </c>
      <c r="B366" t="s">
        <v>30</v>
      </c>
      <c r="C366">
        <v>2178</v>
      </c>
      <c r="D366">
        <v>3</v>
      </c>
      <c r="E366">
        <v>1.25</v>
      </c>
      <c r="F366" s="1">
        <v>43617</v>
      </c>
      <c r="G366">
        <v>6</v>
      </c>
      <c r="H366" t="s">
        <v>13</v>
      </c>
      <c r="I366">
        <v>2019</v>
      </c>
      <c r="J366">
        <f t="shared" si="5"/>
        <v>6534</v>
      </c>
    </row>
    <row r="367" spans="1:10" x14ac:dyDescent="0.25">
      <c r="A367" t="s">
        <v>14</v>
      </c>
      <c r="B367" t="s">
        <v>30</v>
      </c>
      <c r="C367">
        <v>888</v>
      </c>
      <c r="D367">
        <v>3</v>
      </c>
      <c r="E367">
        <v>1.25</v>
      </c>
      <c r="F367" s="1">
        <v>43617</v>
      </c>
      <c r="G367">
        <v>6</v>
      </c>
      <c r="H367" t="s">
        <v>13</v>
      </c>
      <c r="I367">
        <v>2019</v>
      </c>
      <c r="J367">
        <f t="shared" si="5"/>
        <v>2664</v>
      </c>
    </row>
    <row r="368" spans="1:10" x14ac:dyDescent="0.25">
      <c r="A368" t="s">
        <v>21</v>
      </c>
      <c r="B368" t="s">
        <v>30</v>
      </c>
      <c r="C368">
        <v>2151</v>
      </c>
      <c r="D368">
        <v>3</v>
      </c>
      <c r="E368">
        <v>1.25</v>
      </c>
      <c r="F368" s="1">
        <v>43709</v>
      </c>
      <c r="G368">
        <v>9</v>
      </c>
      <c r="H368" t="s">
        <v>17</v>
      </c>
      <c r="I368">
        <v>2019</v>
      </c>
      <c r="J368">
        <f t="shared" si="5"/>
        <v>6453</v>
      </c>
    </row>
    <row r="369" spans="1:10" x14ac:dyDescent="0.25">
      <c r="A369" t="s">
        <v>9</v>
      </c>
      <c r="B369" t="s">
        <v>30</v>
      </c>
      <c r="C369">
        <v>1817</v>
      </c>
      <c r="D369">
        <v>3</v>
      </c>
      <c r="E369">
        <v>1.25</v>
      </c>
      <c r="F369" s="1">
        <v>43800</v>
      </c>
      <c r="G369">
        <v>12</v>
      </c>
      <c r="H369" t="s">
        <v>20</v>
      </c>
      <c r="I369">
        <v>2019</v>
      </c>
      <c r="J369">
        <f t="shared" si="5"/>
        <v>5451</v>
      </c>
    </row>
    <row r="370" spans="1:10" x14ac:dyDescent="0.25">
      <c r="A370" t="s">
        <v>9</v>
      </c>
      <c r="B370" t="s">
        <v>30</v>
      </c>
      <c r="C370">
        <v>1326</v>
      </c>
      <c r="D370">
        <v>3</v>
      </c>
      <c r="E370">
        <v>1.25</v>
      </c>
      <c r="F370" s="1">
        <v>43525</v>
      </c>
      <c r="G370">
        <v>3</v>
      </c>
      <c r="H370" t="s">
        <v>26</v>
      </c>
      <c r="I370">
        <v>2019</v>
      </c>
      <c r="J370">
        <f t="shared" si="5"/>
        <v>3978</v>
      </c>
    </row>
    <row r="371" spans="1:10" x14ac:dyDescent="0.25">
      <c r="A371" t="s">
        <v>14</v>
      </c>
      <c r="B371" t="s">
        <v>30</v>
      </c>
      <c r="C371">
        <v>263</v>
      </c>
      <c r="D371">
        <v>3</v>
      </c>
      <c r="E371">
        <v>1.25</v>
      </c>
      <c r="F371" s="1">
        <v>43525</v>
      </c>
      <c r="G371">
        <v>3</v>
      </c>
      <c r="H371" t="s">
        <v>26</v>
      </c>
      <c r="I371">
        <v>2019</v>
      </c>
      <c r="J371">
        <f t="shared" si="5"/>
        <v>789</v>
      </c>
    </row>
    <row r="372" spans="1:10" x14ac:dyDescent="0.25">
      <c r="A372" t="s">
        <v>9</v>
      </c>
      <c r="B372" t="s">
        <v>30</v>
      </c>
      <c r="C372">
        <v>943.5</v>
      </c>
      <c r="D372">
        <v>3</v>
      </c>
      <c r="E372">
        <v>1.25</v>
      </c>
      <c r="F372" s="1">
        <v>43556</v>
      </c>
      <c r="G372">
        <v>4</v>
      </c>
      <c r="H372" t="s">
        <v>24</v>
      </c>
      <c r="I372">
        <v>2019</v>
      </c>
      <c r="J372">
        <f t="shared" si="5"/>
        <v>2830.5</v>
      </c>
    </row>
    <row r="373" spans="1:10" x14ac:dyDescent="0.25">
      <c r="A373" t="s">
        <v>18</v>
      </c>
      <c r="B373" t="s">
        <v>30</v>
      </c>
      <c r="C373">
        <v>727</v>
      </c>
      <c r="D373">
        <v>3</v>
      </c>
      <c r="E373">
        <v>1.25</v>
      </c>
      <c r="F373" s="1">
        <v>43617</v>
      </c>
      <c r="G373">
        <v>6</v>
      </c>
      <c r="H373" t="s">
        <v>13</v>
      </c>
      <c r="I373">
        <v>2019</v>
      </c>
      <c r="J373">
        <f t="shared" si="5"/>
        <v>2181</v>
      </c>
    </row>
    <row r="374" spans="1:10" x14ac:dyDescent="0.25">
      <c r="A374" t="s">
        <v>21</v>
      </c>
      <c r="B374" t="s">
        <v>30</v>
      </c>
      <c r="C374">
        <v>787</v>
      </c>
      <c r="D374">
        <v>3</v>
      </c>
      <c r="E374">
        <v>1.25</v>
      </c>
      <c r="F374" s="1">
        <v>43617</v>
      </c>
      <c r="G374">
        <v>6</v>
      </c>
      <c r="H374" t="s">
        <v>13</v>
      </c>
      <c r="I374">
        <v>2019</v>
      </c>
      <c r="J374">
        <f t="shared" si="5"/>
        <v>2361</v>
      </c>
    </row>
    <row r="375" spans="1:10" x14ac:dyDescent="0.25">
      <c r="A375" t="s">
        <v>14</v>
      </c>
      <c r="B375" t="s">
        <v>30</v>
      </c>
      <c r="C375">
        <v>986</v>
      </c>
      <c r="D375">
        <v>3</v>
      </c>
      <c r="E375">
        <v>1.25</v>
      </c>
      <c r="F375" s="1">
        <v>43709</v>
      </c>
      <c r="G375">
        <v>9</v>
      </c>
      <c r="H375" t="s">
        <v>17</v>
      </c>
      <c r="I375">
        <v>2019</v>
      </c>
      <c r="J375">
        <f t="shared" si="5"/>
        <v>2958</v>
      </c>
    </row>
    <row r="376" spans="1:10" x14ac:dyDescent="0.25">
      <c r="A376" t="s">
        <v>12</v>
      </c>
      <c r="B376" t="s">
        <v>30</v>
      </c>
      <c r="C376">
        <v>1397</v>
      </c>
      <c r="D376">
        <v>3</v>
      </c>
      <c r="E376">
        <v>1.25</v>
      </c>
      <c r="F376" s="1">
        <v>43739</v>
      </c>
      <c r="G376">
        <v>10</v>
      </c>
      <c r="H376" t="s">
        <v>19</v>
      </c>
      <c r="I376">
        <v>2019</v>
      </c>
      <c r="J376">
        <f t="shared" si="5"/>
        <v>4191</v>
      </c>
    </row>
    <row r="377" spans="1:10" x14ac:dyDescent="0.25">
      <c r="A377" t="s">
        <v>21</v>
      </c>
      <c r="B377" t="s">
        <v>30</v>
      </c>
      <c r="C377">
        <v>1744</v>
      </c>
      <c r="D377">
        <v>3</v>
      </c>
      <c r="E377">
        <v>1.25</v>
      </c>
      <c r="F377" s="1">
        <v>43770</v>
      </c>
      <c r="G377">
        <v>11</v>
      </c>
      <c r="H377" t="s">
        <v>25</v>
      </c>
      <c r="I377">
        <v>2019</v>
      </c>
      <c r="J377">
        <f t="shared" si="5"/>
        <v>5232</v>
      </c>
    </row>
    <row r="378" spans="1:10" x14ac:dyDescent="0.25">
      <c r="A378" t="s">
        <v>12</v>
      </c>
      <c r="B378" t="s">
        <v>30</v>
      </c>
      <c r="C378">
        <v>662</v>
      </c>
      <c r="D378">
        <v>3</v>
      </c>
      <c r="E378">
        <v>1.25</v>
      </c>
      <c r="F378" s="1">
        <v>43617</v>
      </c>
      <c r="G378">
        <v>6</v>
      </c>
      <c r="H378" t="s">
        <v>13</v>
      </c>
      <c r="I378">
        <v>2019</v>
      </c>
      <c r="J378">
        <f t="shared" si="5"/>
        <v>1986</v>
      </c>
    </row>
    <row r="379" spans="1:10" x14ac:dyDescent="0.25">
      <c r="A379" t="s">
        <v>14</v>
      </c>
      <c r="B379" t="s">
        <v>30</v>
      </c>
      <c r="C379">
        <v>2877</v>
      </c>
      <c r="D379">
        <v>3</v>
      </c>
      <c r="E379">
        <v>1.25</v>
      </c>
      <c r="F379" s="1">
        <v>43739</v>
      </c>
      <c r="G379">
        <v>10</v>
      </c>
      <c r="H379" t="s">
        <v>19</v>
      </c>
      <c r="I379">
        <v>2019</v>
      </c>
      <c r="J379">
        <f t="shared" si="5"/>
        <v>8631</v>
      </c>
    </row>
    <row r="380" spans="1:10" x14ac:dyDescent="0.25">
      <c r="A380" t="s">
        <v>9</v>
      </c>
      <c r="B380" t="s">
        <v>30</v>
      </c>
      <c r="C380">
        <v>2729</v>
      </c>
      <c r="D380">
        <v>3</v>
      </c>
      <c r="E380">
        <v>1.25</v>
      </c>
      <c r="F380" s="1">
        <v>43800</v>
      </c>
      <c r="G380">
        <v>12</v>
      </c>
      <c r="H380" t="s">
        <v>20</v>
      </c>
      <c r="I380">
        <v>2019</v>
      </c>
      <c r="J380">
        <f t="shared" si="5"/>
        <v>8187</v>
      </c>
    </row>
    <row r="381" spans="1:10" x14ac:dyDescent="0.25">
      <c r="A381" t="s">
        <v>18</v>
      </c>
      <c r="B381" t="s">
        <v>30</v>
      </c>
      <c r="C381">
        <v>2844</v>
      </c>
      <c r="D381">
        <v>3</v>
      </c>
      <c r="E381">
        <v>1.25</v>
      </c>
      <c r="F381" s="1">
        <v>43497</v>
      </c>
      <c r="G381">
        <v>2</v>
      </c>
      <c r="H381" t="s">
        <v>11</v>
      </c>
      <c r="I381">
        <v>2019</v>
      </c>
      <c r="J381">
        <f t="shared" si="5"/>
        <v>8532</v>
      </c>
    </row>
    <row r="382" spans="1:10" x14ac:dyDescent="0.25">
      <c r="A382" t="s">
        <v>12</v>
      </c>
      <c r="B382" t="s">
        <v>30</v>
      </c>
      <c r="C382">
        <v>1916</v>
      </c>
      <c r="D382">
        <v>3</v>
      </c>
      <c r="E382">
        <v>1.25</v>
      </c>
      <c r="F382" s="1">
        <v>43556</v>
      </c>
      <c r="G382">
        <v>4</v>
      </c>
      <c r="H382" t="s">
        <v>24</v>
      </c>
      <c r="I382">
        <v>2019</v>
      </c>
      <c r="J382">
        <f t="shared" si="5"/>
        <v>5748</v>
      </c>
    </row>
    <row r="383" spans="1:10" x14ac:dyDescent="0.25">
      <c r="A383" t="s">
        <v>14</v>
      </c>
      <c r="B383" t="s">
        <v>30</v>
      </c>
      <c r="C383">
        <v>1570</v>
      </c>
      <c r="D383">
        <v>3</v>
      </c>
      <c r="E383">
        <v>1.25</v>
      </c>
      <c r="F383" s="1">
        <v>43617</v>
      </c>
      <c r="G383">
        <v>6</v>
      </c>
      <c r="H383" t="s">
        <v>13</v>
      </c>
      <c r="I383">
        <v>2019</v>
      </c>
      <c r="J383">
        <f t="shared" si="5"/>
        <v>4710</v>
      </c>
    </row>
    <row r="384" spans="1:10" x14ac:dyDescent="0.25">
      <c r="A384" t="s">
        <v>9</v>
      </c>
      <c r="B384" t="s">
        <v>30</v>
      </c>
      <c r="C384">
        <v>1874</v>
      </c>
      <c r="D384">
        <v>3</v>
      </c>
      <c r="E384">
        <v>1.25</v>
      </c>
      <c r="F384" s="1">
        <v>43678</v>
      </c>
      <c r="G384">
        <v>8</v>
      </c>
      <c r="H384" t="s">
        <v>16</v>
      </c>
      <c r="I384">
        <v>2019</v>
      </c>
      <c r="J384">
        <f t="shared" si="5"/>
        <v>5622</v>
      </c>
    </row>
    <row r="385" spans="1:10" x14ac:dyDescent="0.25">
      <c r="A385" t="s">
        <v>12</v>
      </c>
      <c r="B385" t="s">
        <v>30</v>
      </c>
      <c r="C385">
        <v>1642</v>
      </c>
      <c r="D385">
        <v>3</v>
      </c>
      <c r="E385">
        <v>1.25</v>
      </c>
      <c r="F385" s="1">
        <v>43678</v>
      </c>
      <c r="G385">
        <v>8</v>
      </c>
      <c r="H385" t="s">
        <v>16</v>
      </c>
      <c r="I385">
        <v>2019</v>
      </c>
      <c r="J385">
        <f t="shared" si="5"/>
        <v>4926</v>
      </c>
    </row>
    <row r="386" spans="1:10" x14ac:dyDescent="0.25">
      <c r="A386" t="s">
        <v>14</v>
      </c>
      <c r="B386" t="s">
        <v>30</v>
      </c>
      <c r="C386">
        <v>2479</v>
      </c>
      <c r="D386">
        <v>3</v>
      </c>
      <c r="E386">
        <v>1.25</v>
      </c>
      <c r="F386" s="1">
        <v>43466</v>
      </c>
      <c r="G386">
        <v>1</v>
      </c>
      <c r="H386" t="s">
        <v>22</v>
      </c>
      <c r="I386">
        <v>2019</v>
      </c>
      <c r="J386">
        <f t="shared" si="5"/>
        <v>7437</v>
      </c>
    </row>
    <row r="387" spans="1:10" x14ac:dyDescent="0.25">
      <c r="A387" t="s">
        <v>21</v>
      </c>
      <c r="B387" t="s">
        <v>30</v>
      </c>
      <c r="C387">
        <v>866</v>
      </c>
      <c r="D387">
        <v>3</v>
      </c>
      <c r="E387">
        <v>1.25</v>
      </c>
      <c r="F387" s="1">
        <v>43586</v>
      </c>
      <c r="G387">
        <v>5</v>
      </c>
      <c r="H387" t="s">
        <v>23</v>
      </c>
      <c r="I387">
        <v>2019</v>
      </c>
      <c r="J387">
        <f t="shared" ref="J387:J450" si="6">C387*D387</f>
        <v>2598</v>
      </c>
    </row>
    <row r="388" spans="1:10" x14ac:dyDescent="0.25">
      <c r="A388" t="s">
        <v>21</v>
      </c>
      <c r="B388" t="s">
        <v>30</v>
      </c>
      <c r="C388">
        <v>2177</v>
      </c>
      <c r="D388">
        <v>3</v>
      </c>
      <c r="E388">
        <v>1.25</v>
      </c>
      <c r="F388" s="1">
        <v>43739</v>
      </c>
      <c r="G388">
        <v>10</v>
      </c>
      <c r="H388" t="s">
        <v>19</v>
      </c>
      <c r="I388">
        <v>2019</v>
      </c>
      <c r="J388">
        <f t="shared" si="6"/>
        <v>6531</v>
      </c>
    </row>
    <row r="389" spans="1:10" x14ac:dyDescent="0.25">
      <c r="A389" t="s">
        <v>12</v>
      </c>
      <c r="B389" t="s">
        <v>30</v>
      </c>
      <c r="C389">
        <v>2689</v>
      </c>
      <c r="D389">
        <v>3</v>
      </c>
      <c r="E389">
        <v>1.25</v>
      </c>
      <c r="F389" s="1">
        <v>43739</v>
      </c>
      <c r="G389">
        <v>10</v>
      </c>
      <c r="H389" t="s">
        <v>19</v>
      </c>
      <c r="I389">
        <v>2019</v>
      </c>
      <c r="J389">
        <f t="shared" si="6"/>
        <v>8067</v>
      </c>
    </row>
    <row r="390" spans="1:10" x14ac:dyDescent="0.25">
      <c r="A390" t="s">
        <v>18</v>
      </c>
      <c r="B390" t="s">
        <v>30</v>
      </c>
      <c r="C390">
        <v>2663</v>
      </c>
      <c r="D390">
        <v>3</v>
      </c>
      <c r="E390">
        <v>1.25</v>
      </c>
      <c r="F390" s="1">
        <v>43800</v>
      </c>
      <c r="G390">
        <v>12</v>
      </c>
      <c r="H390" t="s">
        <v>20</v>
      </c>
      <c r="I390">
        <v>2019</v>
      </c>
      <c r="J390">
        <f t="shared" si="6"/>
        <v>7989</v>
      </c>
    </row>
    <row r="391" spans="1:10" x14ac:dyDescent="0.25">
      <c r="A391" t="s">
        <v>18</v>
      </c>
      <c r="B391" t="s">
        <v>30</v>
      </c>
      <c r="C391">
        <v>570</v>
      </c>
      <c r="D391">
        <v>3</v>
      </c>
      <c r="E391">
        <v>1.25</v>
      </c>
      <c r="F391" s="1">
        <v>43800</v>
      </c>
      <c r="G391">
        <v>12</v>
      </c>
      <c r="H391" t="s">
        <v>20</v>
      </c>
      <c r="I391">
        <v>2019</v>
      </c>
      <c r="J391">
        <f t="shared" si="6"/>
        <v>1710</v>
      </c>
    </row>
    <row r="392" spans="1:10" x14ac:dyDescent="0.25">
      <c r="A392" t="s">
        <v>21</v>
      </c>
      <c r="B392" t="s">
        <v>30</v>
      </c>
      <c r="C392">
        <v>2487</v>
      </c>
      <c r="D392">
        <v>3</v>
      </c>
      <c r="E392">
        <v>1.25</v>
      </c>
      <c r="F392" s="1">
        <v>43800</v>
      </c>
      <c r="G392">
        <v>12</v>
      </c>
      <c r="H392" t="s">
        <v>20</v>
      </c>
      <c r="I392">
        <v>2019</v>
      </c>
      <c r="J392">
        <f t="shared" si="6"/>
        <v>7461</v>
      </c>
    </row>
    <row r="393" spans="1:10" x14ac:dyDescent="0.25">
      <c r="A393" t="s">
        <v>9</v>
      </c>
      <c r="B393" t="s">
        <v>30</v>
      </c>
      <c r="C393">
        <v>2844</v>
      </c>
      <c r="D393">
        <v>3</v>
      </c>
      <c r="E393">
        <v>1.25</v>
      </c>
      <c r="F393" s="1">
        <v>43617</v>
      </c>
      <c r="G393">
        <v>6</v>
      </c>
      <c r="H393" t="s">
        <v>13</v>
      </c>
      <c r="I393">
        <v>2019</v>
      </c>
      <c r="J393">
        <f t="shared" si="6"/>
        <v>8532</v>
      </c>
    </row>
    <row r="394" spans="1:10" x14ac:dyDescent="0.25">
      <c r="A394" t="s">
        <v>12</v>
      </c>
      <c r="B394" t="s">
        <v>30</v>
      </c>
      <c r="C394">
        <v>1498</v>
      </c>
      <c r="D394">
        <v>3</v>
      </c>
      <c r="E394">
        <v>1.25</v>
      </c>
      <c r="F394" s="1">
        <v>43617</v>
      </c>
      <c r="G394">
        <v>6</v>
      </c>
      <c r="H394" t="s">
        <v>13</v>
      </c>
      <c r="I394">
        <v>2019</v>
      </c>
      <c r="J394">
        <f t="shared" si="6"/>
        <v>4494</v>
      </c>
    </row>
    <row r="395" spans="1:10" x14ac:dyDescent="0.25">
      <c r="A395" t="s">
        <v>18</v>
      </c>
      <c r="B395" t="s">
        <v>30</v>
      </c>
      <c r="C395">
        <v>1153</v>
      </c>
      <c r="D395">
        <v>3</v>
      </c>
      <c r="E395">
        <v>1.25</v>
      </c>
      <c r="F395" s="1">
        <v>43739</v>
      </c>
      <c r="G395">
        <v>10</v>
      </c>
      <c r="H395" t="s">
        <v>19</v>
      </c>
      <c r="I395">
        <v>2019</v>
      </c>
      <c r="J395">
        <f t="shared" si="6"/>
        <v>3459</v>
      </c>
    </row>
    <row r="396" spans="1:10" x14ac:dyDescent="0.25">
      <c r="A396" t="s">
        <v>21</v>
      </c>
      <c r="B396" t="s">
        <v>30</v>
      </c>
      <c r="C396">
        <v>1738.5</v>
      </c>
      <c r="D396">
        <v>3</v>
      </c>
      <c r="E396">
        <v>1.25</v>
      </c>
      <c r="F396" s="1">
        <v>43556</v>
      </c>
      <c r="G396">
        <v>4</v>
      </c>
      <c r="H396" t="s">
        <v>24</v>
      </c>
      <c r="I396">
        <v>2019</v>
      </c>
      <c r="J396">
        <f t="shared" si="6"/>
        <v>5215.5</v>
      </c>
    </row>
    <row r="397" spans="1:10" x14ac:dyDescent="0.25">
      <c r="A397" t="s">
        <v>9</v>
      </c>
      <c r="B397" t="s">
        <v>30</v>
      </c>
      <c r="C397">
        <v>1582</v>
      </c>
      <c r="D397">
        <v>3</v>
      </c>
      <c r="E397">
        <v>1.25</v>
      </c>
      <c r="F397" s="1">
        <v>43800</v>
      </c>
      <c r="G397">
        <v>12</v>
      </c>
      <c r="H397" t="s">
        <v>20</v>
      </c>
      <c r="I397">
        <v>2019</v>
      </c>
      <c r="J397">
        <f t="shared" si="6"/>
        <v>4746</v>
      </c>
    </row>
    <row r="398" spans="1:10" x14ac:dyDescent="0.25">
      <c r="A398" t="s">
        <v>9</v>
      </c>
      <c r="B398" t="s">
        <v>30</v>
      </c>
      <c r="C398">
        <v>3244.5</v>
      </c>
      <c r="D398">
        <v>3</v>
      </c>
      <c r="E398">
        <v>1.25</v>
      </c>
      <c r="F398" s="1">
        <v>43466</v>
      </c>
      <c r="G398">
        <v>1</v>
      </c>
      <c r="H398" t="s">
        <v>22</v>
      </c>
      <c r="I398">
        <v>2019</v>
      </c>
      <c r="J398">
        <f t="shared" si="6"/>
        <v>9733.5</v>
      </c>
    </row>
    <row r="399" spans="1:10" x14ac:dyDescent="0.25">
      <c r="A399" t="s">
        <v>21</v>
      </c>
      <c r="B399" t="s">
        <v>30</v>
      </c>
      <c r="C399">
        <v>959</v>
      </c>
      <c r="D399">
        <v>3</v>
      </c>
      <c r="E399">
        <v>1.25</v>
      </c>
      <c r="F399" s="1">
        <v>43497</v>
      </c>
      <c r="G399">
        <v>2</v>
      </c>
      <c r="H399" t="s">
        <v>11</v>
      </c>
      <c r="I399">
        <v>2019</v>
      </c>
      <c r="J399">
        <f t="shared" si="6"/>
        <v>2877</v>
      </c>
    </row>
    <row r="400" spans="1:10" x14ac:dyDescent="0.25">
      <c r="A400" t="s">
        <v>12</v>
      </c>
      <c r="B400" t="s">
        <v>30</v>
      </c>
      <c r="C400">
        <v>2747</v>
      </c>
      <c r="D400">
        <v>3</v>
      </c>
      <c r="E400">
        <v>1.25</v>
      </c>
      <c r="F400" s="1">
        <v>43497</v>
      </c>
      <c r="G400">
        <v>2</v>
      </c>
      <c r="H400" t="s">
        <v>11</v>
      </c>
      <c r="I400">
        <v>2019</v>
      </c>
      <c r="J400">
        <f t="shared" si="6"/>
        <v>8241</v>
      </c>
    </row>
    <row r="401" spans="1:10" x14ac:dyDescent="0.25">
      <c r="A401" t="s">
        <v>21</v>
      </c>
      <c r="B401" t="s">
        <v>30</v>
      </c>
      <c r="C401">
        <v>574.5</v>
      </c>
      <c r="D401">
        <v>3</v>
      </c>
      <c r="E401">
        <v>1.25</v>
      </c>
      <c r="F401" s="1">
        <v>43556</v>
      </c>
      <c r="G401">
        <v>4</v>
      </c>
      <c r="H401" t="s">
        <v>24</v>
      </c>
      <c r="I401">
        <v>2019</v>
      </c>
      <c r="J401">
        <f t="shared" si="6"/>
        <v>1723.5</v>
      </c>
    </row>
    <row r="402" spans="1:10" x14ac:dyDescent="0.25">
      <c r="A402" t="s">
        <v>14</v>
      </c>
      <c r="B402" t="s">
        <v>30</v>
      </c>
      <c r="C402">
        <v>2338</v>
      </c>
      <c r="D402">
        <v>3</v>
      </c>
      <c r="E402">
        <v>1.25</v>
      </c>
      <c r="F402" s="1">
        <v>43617</v>
      </c>
      <c r="G402">
        <v>6</v>
      </c>
      <c r="H402" t="s">
        <v>13</v>
      </c>
      <c r="I402">
        <v>2019</v>
      </c>
      <c r="J402">
        <f t="shared" si="6"/>
        <v>7014</v>
      </c>
    </row>
    <row r="403" spans="1:10" x14ac:dyDescent="0.25">
      <c r="A403" t="s">
        <v>21</v>
      </c>
      <c r="B403" t="s">
        <v>30</v>
      </c>
      <c r="C403">
        <v>381</v>
      </c>
      <c r="D403">
        <v>3</v>
      </c>
      <c r="E403">
        <v>1.25</v>
      </c>
      <c r="F403" s="1">
        <v>43678</v>
      </c>
      <c r="G403">
        <v>8</v>
      </c>
      <c r="H403" t="s">
        <v>16</v>
      </c>
      <c r="I403">
        <v>2019</v>
      </c>
      <c r="J403">
        <f t="shared" si="6"/>
        <v>1143</v>
      </c>
    </row>
    <row r="404" spans="1:10" x14ac:dyDescent="0.25">
      <c r="A404" t="s">
        <v>14</v>
      </c>
      <c r="B404" t="s">
        <v>30</v>
      </c>
      <c r="C404">
        <v>422</v>
      </c>
      <c r="D404">
        <v>3</v>
      </c>
      <c r="E404">
        <v>1.25</v>
      </c>
      <c r="F404" s="1">
        <v>43678</v>
      </c>
      <c r="G404">
        <v>8</v>
      </c>
      <c r="H404" t="s">
        <v>16</v>
      </c>
      <c r="I404">
        <v>2019</v>
      </c>
      <c r="J404">
        <f t="shared" si="6"/>
        <v>1266</v>
      </c>
    </row>
    <row r="405" spans="1:10" x14ac:dyDescent="0.25">
      <c r="A405" t="s">
        <v>9</v>
      </c>
      <c r="B405" t="s">
        <v>30</v>
      </c>
      <c r="C405">
        <v>2134</v>
      </c>
      <c r="D405">
        <v>3</v>
      </c>
      <c r="E405">
        <v>1.25</v>
      </c>
      <c r="F405" s="1">
        <v>43709</v>
      </c>
      <c r="G405">
        <v>9</v>
      </c>
      <c r="H405" t="s">
        <v>17</v>
      </c>
      <c r="I405">
        <v>2019</v>
      </c>
      <c r="J405">
        <f t="shared" si="6"/>
        <v>6402</v>
      </c>
    </row>
    <row r="406" spans="1:10" x14ac:dyDescent="0.25">
      <c r="A406" t="s">
        <v>18</v>
      </c>
      <c r="B406" t="s">
        <v>30</v>
      </c>
      <c r="C406">
        <v>436.5</v>
      </c>
      <c r="D406">
        <v>3</v>
      </c>
      <c r="E406">
        <v>1.25</v>
      </c>
      <c r="F406" s="1">
        <v>43647</v>
      </c>
      <c r="G406">
        <v>7</v>
      </c>
      <c r="H406" t="s">
        <v>15</v>
      </c>
      <c r="I406">
        <v>2019</v>
      </c>
      <c r="J406">
        <f t="shared" si="6"/>
        <v>1309.5</v>
      </c>
    </row>
    <row r="407" spans="1:10" x14ac:dyDescent="0.25">
      <c r="A407" t="s">
        <v>18</v>
      </c>
      <c r="B407" t="s">
        <v>30</v>
      </c>
      <c r="C407">
        <v>1956</v>
      </c>
      <c r="D407">
        <v>3</v>
      </c>
      <c r="E407">
        <v>1.25</v>
      </c>
      <c r="F407" s="1">
        <v>43466</v>
      </c>
      <c r="G407">
        <v>1</v>
      </c>
      <c r="H407" t="s">
        <v>22</v>
      </c>
      <c r="I407">
        <v>2019</v>
      </c>
      <c r="J407">
        <f t="shared" si="6"/>
        <v>5868</v>
      </c>
    </row>
    <row r="408" spans="1:10" x14ac:dyDescent="0.25">
      <c r="A408" t="s">
        <v>14</v>
      </c>
      <c r="B408" t="s">
        <v>30</v>
      </c>
      <c r="C408">
        <v>2659</v>
      </c>
      <c r="D408">
        <v>3</v>
      </c>
      <c r="E408">
        <v>1.25</v>
      </c>
      <c r="F408" s="1">
        <v>43497</v>
      </c>
      <c r="G408">
        <v>2</v>
      </c>
      <c r="H408" t="s">
        <v>11</v>
      </c>
      <c r="I408">
        <v>2019</v>
      </c>
      <c r="J408">
        <f t="shared" si="6"/>
        <v>7977</v>
      </c>
    </row>
    <row r="409" spans="1:10" x14ac:dyDescent="0.25">
      <c r="A409" t="s">
        <v>18</v>
      </c>
      <c r="B409" t="s">
        <v>30</v>
      </c>
      <c r="C409">
        <v>1351.5</v>
      </c>
      <c r="D409">
        <v>3</v>
      </c>
      <c r="E409">
        <v>1.25</v>
      </c>
      <c r="F409" s="1">
        <v>43556</v>
      </c>
      <c r="G409">
        <v>4</v>
      </c>
      <c r="H409" t="s">
        <v>24</v>
      </c>
      <c r="I409">
        <v>2019</v>
      </c>
      <c r="J409">
        <f t="shared" si="6"/>
        <v>4054.5</v>
      </c>
    </row>
    <row r="410" spans="1:10" x14ac:dyDescent="0.25">
      <c r="A410" t="s">
        <v>14</v>
      </c>
      <c r="B410" t="s">
        <v>30</v>
      </c>
      <c r="C410">
        <v>880</v>
      </c>
      <c r="D410">
        <v>3</v>
      </c>
      <c r="E410">
        <v>1.25</v>
      </c>
      <c r="F410" s="1">
        <v>43586</v>
      </c>
      <c r="G410">
        <v>5</v>
      </c>
      <c r="H410" t="s">
        <v>23</v>
      </c>
      <c r="I410">
        <v>2019</v>
      </c>
      <c r="J410">
        <f t="shared" si="6"/>
        <v>2640</v>
      </c>
    </row>
    <row r="411" spans="1:10" x14ac:dyDescent="0.25">
      <c r="A411" t="s">
        <v>18</v>
      </c>
      <c r="B411" t="s">
        <v>30</v>
      </c>
      <c r="C411">
        <v>1867</v>
      </c>
      <c r="D411">
        <v>3</v>
      </c>
      <c r="E411">
        <v>1.25</v>
      </c>
      <c r="F411" s="1">
        <v>43709</v>
      </c>
      <c r="G411">
        <v>9</v>
      </c>
      <c r="H411" t="s">
        <v>17</v>
      </c>
      <c r="I411">
        <v>2019</v>
      </c>
      <c r="J411">
        <f t="shared" si="6"/>
        <v>5601</v>
      </c>
    </row>
    <row r="412" spans="1:10" x14ac:dyDescent="0.25">
      <c r="A412" t="s">
        <v>21</v>
      </c>
      <c r="B412" t="s">
        <v>30</v>
      </c>
      <c r="C412">
        <v>1227</v>
      </c>
      <c r="D412">
        <v>3</v>
      </c>
      <c r="E412">
        <v>1.25</v>
      </c>
      <c r="F412" s="1">
        <v>43739</v>
      </c>
      <c r="G412">
        <v>10</v>
      </c>
      <c r="H412" t="s">
        <v>19</v>
      </c>
      <c r="I412">
        <v>2019</v>
      </c>
      <c r="J412">
        <f t="shared" si="6"/>
        <v>3681</v>
      </c>
    </row>
    <row r="413" spans="1:10" x14ac:dyDescent="0.25">
      <c r="A413" t="s">
        <v>12</v>
      </c>
      <c r="B413" t="s">
        <v>30</v>
      </c>
      <c r="C413">
        <v>877</v>
      </c>
      <c r="D413">
        <v>3</v>
      </c>
      <c r="E413">
        <v>1.25</v>
      </c>
      <c r="F413" s="1">
        <v>43770</v>
      </c>
      <c r="G413">
        <v>11</v>
      </c>
      <c r="H413" t="s">
        <v>25</v>
      </c>
      <c r="I413">
        <v>2019</v>
      </c>
      <c r="J413">
        <f t="shared" si="6"/>
        <v>2631</v>
      </c>
    </row>
    <row r="414" spans="1:10" x14ac:dyDescent="0.25">
      <c r="A414" t="s">
        <v>14</v>
      </c>
      <c r="B414" t="s">
        <v>30</v>
      </c>
      <c r="C414">
        <v>360</v>
      </c>
      <c r="D414">
        <v>3</v>
      </c>
      <c r="E414">
        <v>1.25</v>
      </c>
      <c r="F414" s="1">
        <v>43739</v>
      </c>
      <c r="G414">
        <v>10</v>
      </c>
      <c r="H414" t="s">
        <v>19</v>
      </c>
      <c r="I414">
        <v>2019</v>
      </c>
      <c r="J414">
        <f t="shared" si="6"/>
        <v>1080</v>
      </c>
    </row>
    <row r="415" spans="1:10" x14ac:dyDescent="0.25">
      <c r="A415" t="s">
        <v>12</v>
      </c>
      <c r="B415" t="s">
        <v>30</v>
      </c>
      <c r="C415">
        <v>521</v>
      </c>
      <c r="D415">
        <v>3</v>
      </c>
      <c r="E415">
        <v>1.25</v>
      </c>
      <c r="F415" s="1">
        <v>43800</v>
      </c>
      <c r="G415">
        <v>12</v>
      </c>
      <c r="H415" t="s">
        <v>20</v>
      </c>
      <c r="I415">
        <v>2019</v>
      </c>
      <c r="J415">
        <f t="shared" si="6"/>
        <v>1563</v>
      </c>
    </row>
    <row r="416" spans="1:10" x14ac:dyDescent="0.25">
      <c r="A416" t="s">
        <v>12</v>
      </c>
      <c r="B416" t="s">
        <v>30</v>
      </c>
      <c r="C416">
        <v>341</v>
      </c>
      <c r="D416">
        <v>3</v>
      </c>
      <c r="E416">
        <v>1.25</v>
      </c>
      <c r="F416" s="1">
        <v>43586</v>
      </c>
      <c r="G416">
        <v>5</v>
      </c>
      <c r="H416" t="s">
        <v>23</v>
      </c>
      <c r="I416">
        <v>2019</v>
      </c>
      <c r="J416">
        <f t="shared" si="6"/>
        <v>1023</v>
      </c>
    </row>
    <row r="417" spans="1:10" x14ac:dyDescent="0.25">
      <c r="A417" t="s">
        <v>12</v>
      </c>
      <c r="B417" t="s">
        <v>30</v>
      </c>
      <c r="C417">
        <v>641</v>
      </c>
      <c r="D417">
        <v>3</v>
      </c>
      <c r="E417">
        <v>1.25</v>
      </c>
      <c r="F417" s="1">
        <v>43647</v>
      </c>
      <c r="G417">
        <v>7</v>
      </c>
      <c r="H417" t="s">
        <v>15</v>
      </c>
      <c r="I417">
        <v>2019</v>
      </c>
      <c r="J417">
        <f t="shared" si="6"/>
        <v>1923</v>
      </c>
    </row>
    <row r="418" spans="1:10" x14ac:dyDescent="0.25">
      <c r="A418" t="s">
        <v>18</v>
      </c>
      <c r="B418" t="s">
        <v>30</v>
      </c>
      <c r="C418">
        <v>2807</v>
      </c>
      <c r="D418">
        <v>3</v>
      </c>
      <c r="E418">
        <v>1.25</v>
      </c>
      <c r="F418" s="1">
        <v>43678</v>
      </c>
      <c r="G418">
        <v>8</v>
      </c>
      <c r="H418" t="s">
        <v>16</v>
      </c>
      <c r="I418">
        <v>2019</v>
      </c>
      <c r="J418">
        <f t="shared" si="6"/>
        <v>8421</v>
      </c>
    </row>
    <row r="419" spans="1:10" x14ac:dyDescent="0.25">
      <c r="A419" t="s">
        <v>12</v>
      </c>
      <c r="B419" t="s">
        <v>30</v>
      </c>
      <c r="C419">
        <v>432</v>
      </c>
      <c r="D419">
        <v>3</v>
      </c>
      <c r="E419">
        <v>1.25</v>
      </c>
      <c r="F419" s="1">
        <v>43709</v>
      </c>
      <c r="G419">
        <v>9</v>
      </c>
      <c r="H419" t="s">
        <v>17</v>
      </c>
      <c r="I419">
        <v>2019</v>
      </c>
      <c r="J419">
        <f t="shared" si="6"/>
        <v>1296</v>
      </c>
    </row>
    <row r="420" spans="1:10" x14ac:dyDescent="0.25">
      <c r="A420" t="s">
        <v>9</v>
      </c>
      <c r="B420" t="s">
        <v>30</v>
      </c>
      <c r="C420">
        <v>2529</v>
      </c>
      <c r="D420">
        <v>3</v>
      </c>
      <c r="E420">
        <v>1.25</v>
      </c>
      <c r="F420" s="1">
        <v>43770</v>
      </c>
      <c r="G420">
        <v>11</v>
      </c>
      <c r="H420" t="s">
        <v>25</v>
      </c>
      <c r="I420">
        <v>2019</v>
      </c>
      <c r="J420">
        <f t="shared" si="6"/>
        <v>7587</v>
      </c>
    </row>
    <row r="421" spans="1:10" x14ac:dyDescent="0.25">
      <c r="A421" t="s">
        <v>18</v>
      </c>
      <c r="B421" t="s">
        <v>30</v>
      </c>
      <c r="C421">
        <v>1579</v>
      </c>
      <c r="D421">
        <v>3</v>
      </c>
      <c r="E421">
        <v>1.25</v>
      </c>
      <c r="F421" s="1">
        <v>43525</v>
      </c>
      <c r="G421">
        <v>3</v>
      </c>
      <c r="H421" t="s">
        <v>26</v>
      </c>
      <c r="I421">
        <v>2019</v>
      </c>
      <c r="J421">
        <f t="shared" si="6"/>
        <v>4737</v>
      </c>
    </row>
    <row r="422" spans="1:10" x14ac:dyDescent="0.25">
      <c r="A422" t="s">
        <v>21</v>
      </c>
      <c r="B422" t="s">
        <v>30</v>
      </c>
      <c r="C422">
        <v>1734</v>
      </c>
      <c r="D422">
        <v>3</v>
      </c>
      <c r="E422">
        <v>1.25</v>
      </c>
      <c r="F422" s="1">
        <v>43466</v>
      </c>
      <c r="G422">
        <v>1</v>
      </c>
      <c r="H422" t="s">
        <v>22</v>
      </c>
      <c r="I422">
        <v>2019</v>
      </c>
      <c r="J422">
        <f t="shared" si="6"/>
        <v>5202</v>
      </c>
    </row>
    <row r="423" spans="1:10" x14ac:dyDescent="0.25">
      <c r="A423" t="s">
        <v>12</v>
      </c>
      <c r="B423" t="s">
        <v>30</v>
      </c>
      <c r="C423">
        <v>554</v>
      </c>
      <c r="D423">
        <v>3</v>
      </c>
      <c r="E423">
        <v>1.25</v>
      </c>
      <c r="F423" s="1">
        <v>43466</v>
      </c>
      <c r="G423">
        <v>1</v>
      </c>
      <c r="H423" t="s">
        <v>22</v>
      </c>
      <c r="I423">
        <v>2019</v>
      </c>
      <c r="J423">
        <f t="shared" si="6"/>
        <v>1662</v>
      </c>
    </row>
    <row r="424" spans="1:10" x14ac:dyDescent="0.25">
      <c r="A424" t="s">
        <v>9</v>
      </c>
      <c r="B424" t="s">
        <v>30</v>
      </c>
      <c r="C424">
        <v>2109</v>
      </c>
      <c r="D424">
        <v>3</v>
      </c>
      <c r="E424">
        <v>1.25</v>
      </c>
      <c r="F424" s="1">
        <v>43586</v>
      </c>
      <c r="G424">
        <v>5</v>
      </c>
      <c r="H424" t="s">
        <v>23</v>
      </c>
      <c r="I424">
        <v>2019</v>
      </c>
      <c r="J424">
        <f t="shared" si="6"/>
        <v>6327</v>
      </c>
    </row>
    <row r="425" spans="1:10" x14ac:dyDescent="0.25">
      <c r="A425" t="s">
        <v>21</v>
      </c>
      <c r="B425" t="s">
        <v>30</v>
      </c>
      <c r="C425">
        <v>3874.5</v>
      </c>
      <c r="D425">
        <v>3</v>
      </c>
      <c r="E425">
        <v>1.25</v>
      </c>
      <c r="F425" s="1">
        <v>43647</v>
      </c>
      <c r="G425">
        <v>7</v>
      </c>
      <c r="H425" t="s">
        <v>15</v>
      </c>
      <c r="I425">
        <v>2019</v>
      </c>
      <c r="J425">
        <f t="shared" si="6"/>
        <v>11623.5</v>
      </c>
    </row>
    <row r="426" spans="1:10" x14ac:dyDescent="0.25">
      <c r="A426" t="s">
        <v>18</v>
      </c>
      <c r="B426" t="s">
        <v>30</v>
      </c>
      <c r="C426">
        <v>986</v>
      </c>
      <c r="D426">
        <v>3</v>
      </c>
      <c r="E426">
        <v>1.25</v>
      </c>
      <c r="F426" s="1">
        <v>43739</v>
      </c>
      <c r="G426">
        <v>10</v>
      </c>
      <c r="H426" t="s">
        <v>19</v>
      </c>
      <c r="I426">
        <v>2019</v>
      </c>
      <c r="J426">
        <f t="shared" si="6"/>
        <v>2958</v>
      </c>
    </row>
    <row r="427" spans="1:10" x14ac:dyDescent="0.25">
      <c r="A427" t="s">
        <v>18</v>
      </c>
      <c r="B427" t="s">
        <v>30</v>
      </c>
      <c r="C427">
        <v>2387</v>
      </c>
      <c r="D427">
        <v>3</v>
      </c>
      <c r="E427">
        <v>1.25</v>
      </c>
      <c r="F427" s="1">
        <v>43770</v>
      </c>
      <c r="G427">
        <v>11</v>
      </c>
      <c r="H427" t="s">
        <v>25</v>
      </c>
      <c r="I427">
        <v>2019</v>
      </c>
      <c r="J427">
        <f t="shared" si="6"/>
        <v>7161</v>
      </c>
    </row>
    <row r="428" spans="1:10" x14ac:dyDescent="0.25">
      <c r="A428" t="s">
        <v>12</v>
      </c>
      <c r="B428" t="s">
        <v>30</v>
      </c>
      <c r="C428">
        <v>1233</v>
      </c>
      <c r="D428">
        <v>3</v>
      </c>
      <c r="E428">
        <v>1.25</v>
      </c>
      <c r="F428" s="1">
        <v>43800</v>
      </c>
      <c r="G428">
        <v>12</v>
      </c>
      <c r="H428" t="s">
        <v>20</v>
      </c>
      <c r="I428">
        <v>2019</v>
      </c>
      <c r="J428">
        <f t="shared" si="6"/>
        <v>3699</v>
      </c>
    </row>
    <row r="429" spans="1:10" x14ac:dyDescent="0.25">
      <c r="A429" t="s">
        <v>21</v>
      </c>
      <c r="B429" t="s">
        <v>30</v>
      </c>
      <c r="C429">
        <v>1491</v>
      </c>
      <c r="D429">
        <v>3</v>
      </c>
      <c r="E429">
        <v>1.25</v>
      </c>
      <c r="F429" s="1">
        <v>43525</v>
      </c>
      <c r="G429">
        <v>3</v>
      </c>
      <c r="H429" t="s">
        <v>26</v>
      </c>
      <c r="I429">
        <v>2019</v>
      </c>
      <c r="J429">
        <f t="shared" si="6"/>
        <v>4473</v>
      </c>
    </row>
    <row r="430" spans="1:10" x14ac:dyDescent="0.25">
      <c r="A430" t="s">
        <v>14</v>
      </c>
      <c r="B430" t="s">
        <v>30</v>
      </c>
      <c r="C430">
        <v>1531</v>
      </c>
      <c r="D430">
        <v>3</v>
      </c>
      <c r="E430">
        <v>1.25</v>
      </c>
      <c r="F430" s="1">
        <v>43800</v>
      </c>
      <c r="G430">
        <v>12</v>
      </c>
      <c r="H430" t="s">
        <v>20</v>
      </c>
      <c r="I430">
        <v>2019</v>
      </c>
      <c r="J430">
        <f t="shared" si="6"/>
        <v>4593</v>
      </c>
    </row>
    <row r="431" spans="1:10" x14ac:dyDescent="0.25">
      <c r="A431" t="s">
        <v>18</v>
      </c>
      <c r="B431" t="s">
        <v>30</v>
      </c>
      <c r="C431">
        <v>2567</v>
      </c>
      <c r="D431">
        <v>3</v>
      </c>
      <c r="E431">
        <v>1.25</v>
      </c>
      <c r="F431" s="1">
        <v>43617</v>
      </c>
      <c r="G431">
        <v>6</v>
      </c>
      <c r="H431" t="s">
        <v>13</v>
      </c>
      <c r="I431">
        <v>2019</v>
      </c>
      <c r="J431">
        <f t="shared" si="6"/>
        <v>7701</v>
      </c>
    </row>
    <row r="432" spans="1:10" x14ac:dyDescent="0.25">
      <c r="A432" t="s">
        <v>9</v>
      </c>
      <c r="B432" t="s">
        <v>30</v>
      </c>
      <c r="C432">
        <v>1583</v>
      </c>
      <c r="D432">
        <v>3</v>
      </c>
      <c r="E432">
        <v>1.25</v>
      </c>
      <c r="F432" s="1">
        <v>43617</v>
      </c>
      <c r="G432">
        <v>6</v>
      </c>
      <c r="H432" t="s">
        <v>13</v>
      </c>
      <c r="I432">
        <v>2019</v>
      </c>
      <c r="J432">
        <f t="shared" si="6"/>
        <v>4749</v>
      </c>
    </row>
    <row r="433" spans="1:10" x14ac:dyDescent="0.25">
      <c r="A433" t="s">
        <v>9</v>
      </c>
      <c r="B433" t="s">
        <v>30</v>
      </c>
      <c r="C433">
        <v>1565</v>
      </c>
      <c r="D433">
        <v>3</v>
      </c>
      <c r="E433">
        <v>1.25</v>
      </c>
      <c r="F433" s="1">
        <v>43739</v>
      </c>
      <c r="G433">
        <v>10</v>
      </c>
      <c r="H433" t="s">
        <v>19</v>
      </c>
      <c r="I433">
        <v>2019</v>
      </c>
      <c r="J433">
        <f t="shared" si="6"/>
        <v>4695</v>
      </c>
    </row>
    <row r="434" spans="1:10" x14ac:dyDescent="0.25">
      <c r="A434" t="s">
        <v>14</v>
      </c>
      <c r="B434" t="s">
        <v>30</v>
      </c>
      <c r="C434">
        <v>280</v>
      </c>
      <c r="D434">
        <v>3</v>
      </c>
      <c r="E434">
        <v>1.25</v>
      </c>
      <c r="F434" s="1">
        <v>43800</v>
      </c>
      <c r="G434">
        <v>12</v>
      </c>
      <c r="H434" t="s">
        <v>20</v>
      </c>
      <c r="I434">
        <v>2019</v>
      </c>
      <c r="J434">
        <f t="shared" si="6"/>
        <v>840</v>
      </c>
    </row>
    <row r="435" spans="1:10" x14ac:dyDescent="0.25">
      <c r="A435" t="s">
        <v>12</v>
      </c>
      <c r="B435" t="s">
        <v>30</v>
      </c>
      <c r="C435">
        <v>2903</v>
      </c>
      <c r="D435">
        <v>3</v>
      </c>
      <c r="E435">
        <v>1.25</v>
      </c>
      <c r="F435" s="1">
        <v>43525</v>
      </c>
      <c r="G435">
        <v>3</v>
      </c>
      <c r="H435" t="s">
        <v>26</v>
      </c>
      <c r="I435">
        <v>2019</v>
      </c>
      <c r="J435">
        <f t="shared" si="6"/>
        <v>8709</v>
      </c>
    </row>
    <row r="436" spans="1:10" x14ac:dyDescent="0.25">
      <c r="A436" t="s">
        <v>18</v>
      </c>
      <c r="B436" t="s">
        <v>30</v>
      </c>
      <c r="C436">
        <v>2541</v>
      </c>
      <c r="D436">
        <v>3</v>
      </c>
      <c r="E436">
        <v>1.25</v>
      </c>
      <c r="F436" s="1">
        <v>43678</v>
      </c>
      <c r="G436">
        <v>8</v>
      </c>
      <c r="H436" t="s">
        <v>16</v>
      </c>
      <c r="I436">
        <v>2019</v>
      </c>
      <c r="J436">
        <f t="shared" si="6"/>
        <v>7623</v>
      </c>
    </row>
    <row r="437" spans="1:10" x14ac:dyDescent="0.25">
      <c r="A437" t="s">
        <v>9</v>
      </c>
      <c r="B437" t="s">
        <v>30</v>
      </c>
      <c r="C437">
        <v>1496</v>
      </c>
      <c r="D437">
        <v>3</v>
      </c>
      <c r="E437">
        <v>1.25</v>
      </c>
      <c r="F437" s="1">
        <v>43739</v>
      </c>
      <c r="G437">
        <v>10</v>
      </c>
      <c r="H437" t="s">
        <v>19</v>
      </c>
      <c r="I437">
        <v>2019</v>
      </c>
      <c r="J437">
        <f t="shared" si="6"/>
        <v>4488</v>
      </c>
    </row>
    <row r="438" spans="1:10" x14ac:dyDescent="0.25">
      <c r="A438" t="s">
        <v>18</v>
      </c>
      <c r="B438" t="s">
        <v>30</v>
      </c>
      <c r="C438">
        <v>1010</v>
      </c>
      <c r="D438">
        <v>3</v>
      </c>
      <c r="E438">
        <v>1.25</v>
      </c>
      <c r="F438" s="1">
        <v>43739</v>
      </c>
      <c r="G438">
        <v>10</v>
      </c>
      <c r="H438" t="s">
        <v>19</v>
      </c>
      <c r="I438">
        <v>2019</v>
      </c>
      <c r="J438">
        <f t="shared" si="6"/>
        <v>3030</v>
      </c>
    </row>
    <row r="439" spans="1:10" x14ac:dyDescent="0.25">
      <c r="A439" t="s">
        <v>9</v>
      </c>
      <c r="B439" t="s">
        <v>30</v>
      </c>
      <c r="C439">
        <v>865.5</v>
      </c>
      <c r="D439">
        <v>3</v>
      </c>
      <c r="E439">
        <v>1.25</v>
      </c>
      <c r="F439" s="1">
        <v>43647</v>
      </c>
      <c r="G439">
        <v>7</v>
      </c>
      <c r="H439" t="s">
        <v>15</v>
      </c>
      <c r="I439">
        <v>2019</v>
      </c>
      <c r="J439">
        <f t="shared" si="6"/>
        <v>2596.5</v>
      </c>
    </row>
    <row r="440" spans="1:10" x14ac:dyDescent="0.25">
      <c r="A440" t="s">
        <v>14</v>
      </c>
      <c r="B440" t="s">
        <v>30</v>
      </c>
      <c r="C440">
        <v>492</v>
      </c>
      <c r="D440">
        <v>3</v>
      </c>
      <c r="E440">
        <v>1.25</v>
      </c>
      <c r="F440" s="1">
        <v>43647</v>
      </c>
      <c r="G440">
        <v>7</v>
      </c>
      <c r="H440" t="s">
        <v>15</v>
      </c>
      <c r="I440">
        <v>2019</v>
      </c>
      <c r="J440">
        <f t="shared" si="6"/>
        <v>1476</v>
      </c>
    </row>
    <row r="441" spans="1:10" x14ac:dyDescent="0.25">
      <c r="A441" t="s">
        <v>14</v>
      </c>
      <c r="B441" t="s">
        <v>30</v>
      </c>
      <c r="C441">
        <v>1175</v>
      </c>
      <c r="D441">
        <v>3</v>
      </c>
      <c r="E441">
        <v>1.25</v>
      </c>
      <c r="F441" s="1">
        <v>43739</v>
      </c>
      <c r="G441">
        <v>10</v>
      </c>
      <c r="H441" t="s">
        <v>19</v>
      </c>
      <c r="I441">
        <v>2019</v>
      </c>
      <c r="J441">
        <f t="shared" si="6"/>
        <v>3525</v>
      </c>
    </row>
    <row r="442" spans="1:10" x14ac:dyDescent="0.25">
      <c r="A442" t="s">
        <v>14</v>
      </c>
      <c r="B442" t="s">
        <v>30</v>
      </c>
      <c r="C442">
        <v>552</v>
      </c>
      <c r="D442">
        <v>3</v>
      </c>
      <c r="E442">
        <v>1.25</v>
      </c>
      <c r="F442" s="1">
        <v>43770</v>
      </c>
      <c r="G442">
        <v>11</v>
      </c>
      <c r="H442" t="s">
        <v>25</v>
      </c>
      <c r="I442">
        <v>2019</v>
      </c>
      <c r="J442">
        <f t="shared" si="6"/>
        <v>1656</v>
      </c>
    </row>
    <row r="443" spans="1:10" x14ac:dyDescent="0.25">
      <c r="A443" t="s">
        <v>21</v>
      </c>
      <c r="B443" t="s">
        <v>30</v>
      </c>
      <c r="C443">
        <v>293</v>
      </c>
      <c r="D443">
        <v>3</v>
      </c>
      <c r="E443">
        <v>1.25</v>
      </c>
      <c r="F443" s="1">
        <v>43800</v>
      </c>
      <c r="G443">
        <v>12</v>
      </c>
      <c r="H443" t="s">
        <v>20</v>
      </c>
      <c r="I443">
        <v>2019</v>
      </c>
      <c r="J443">
        <f t="shared" si="6"/>
        <v>879</v>
      </c>
    </row>
    <row r="444" spans="1:10" x14ac:dyDescent="0.25">
      <c r="A444" t="s">
        <v>18</v>
      </c>
      <c r="B444" t="s">
        <v>30</v>
      </c>
      <c r="C444">
        <v>1806</v>
      </c>
      <c r="D444">
        <v>3</v>
      </c>
      <c r="E444">
        <v>1.25</v>
      </c>
      <c r="F444" s="1">
        <v>43586</v>
      </c>
      <c r="G444">
        <v>5</v>
      </c>
      <c r="H444" t="s">
        <v>23</v>
      </c>
      <c r="I444">
        <v>2019</v>
      </c>
      <c r="J444">
        <f t="shared" si="6"/>
        <v>5418</v>
      </c>
    </row>
    <row r="445" spans="1:10" x14ac:dyDescent="0.25">
      <c r="A445" t="s">
        <v>12</v>
      </c>
      <c r="B445" t="s">
        <v>31</v>
      </c>
      <c r="C445">
        <v>1493</v>
      </c>
      <c r="D445">
        <v>6</v>
      </c>
      <c r="E445">
        <v>2.75</v>
      </c>
      <c r="F445" s="1">
        <v>43466</v>
      </c>
      <c r="G445">
        <v>1</v>
      </c>
      <c r="H445" t="s">
        <v>22</v>
      </c>
      <c r="I445">
        <v>2019</v>
      </c>
      <c r="J445">
        <f t="shared" si="6"/>
        <v>8958</v>
      </c>
    </row>
    <row r="446" spans="1:10" x14ac:dyDescent="0.25">
      <c r="A446" t="s">
        <v>21</v>
      </c>
      <c r="B446" t="s">
        <v>31</v>
      </c>
      <c r="C446">
        <v>1804</v>
      </c>
      <c r="D446">
        <v>6</v>
      </c>
      <c r="E446">
        <v>2.75</v>
      </c>
      <c r="F446" s="1">
        <v>43497</v>
      </c>
      <c r="G446">
        <v>2</v>
      </c>
      <c r="H446" t="s">
        <v>11</v>
      </c>
      <c r="I446">
        <v>2019</v>
      </c>
      <c r="J446">
        <f t="shared" si="6"/>
        <v>10824</v>
      </c>
    </row>
    <row r="447" spans="1:10" x14ac:dyDescent="0.25">
      <c r="A447" t="s">
        <v>14</v>
      </c>
      <c r="B447" t="s">
        <v>31</v>
      </c>
      <c r="C447">
        <v>2161</v>
      </c>
      <c r="D447">
        <v>6</v>
      </c>
      <c r="E447">
        <v>2.75</v>
      </c>
      <c r="F447" s="1">
        <v>43525</v>
      </c>
      <c r="G447">
        <v>3</v>
      </c>
      <c r="H447" t="s">
        <v>26</v>
      </c>
      <c r="I447">
        <v>2019</v>
      </c>
      <c r="J447">
        <f t="shared" si="6"/>
        <v>12966</v>
      </c>
    </row>
    <row r="448" spans="1:10" x14ac:dyDescent="0.25">
      <c r="A448" t="s">
        <v>14</v>
      </c>
      <c r="B448" t="s">
        <v>31</v>
      </c>
      <c r="C448">
        <v>1006</v>
      </c>
      <c r="D448">
        <v>6</v>
      </c>
      <c r="E448">
        <v>2.75</v>
      </c>
      <c r="F448" s="1">
        <v>43617</v>
      </c>
      <c r="G448">
        <v>6</v>
      </c>
      <c r="H448" t="s">
        <v>13</v>
      </c>
      <c r="I448">
        <v>2019</v>
      </c>
      <c r="J448">
        <f t="shared" si="6"/>
        <v>6036</v>
      </c>
    </row>
    <row r="449" spans="1:10" x14ac:dyDescent="0.25">
      <c r="A449" t="s">
        <v>14</v>
      </c>
      <c r="B449" t="s">
        <v>31</v>
      </c>
      <c r="C449">
        <v>1545</v>
      </c>
      <c r="D449">
        <v>6</v>
      </c>
      <c r="E449">
        <v>2.75</v>
      </c>
      <c r="F449" s="1">
        <v>43617</v>
      </c>
      <c r="G449">
        <v>6</v>
      </c>
      <c r="H449" t="s">
        <v>13</v>
      </c>
      <c r="I449">
        <v>2019</v>
      </c>
      <c r="J449">
        <f t="shared" si="6"/>
        <v>9270</v>
      </c>
    </row>
    <row r="450" spans="1:10" x14ac:dyDescent="0.25">
      <c r="A450" t="s">
        <v>18</v>
      </c>
      <c r="B450" t="s">
        <v>31</v>
      </c>
      <c r="C450">
        <v>2821</v>
      </c>
      <c r="D450">
        <v>6</v>
      </c>
      <c r="E450">
        <v>2.75</v>
      </c>
      <c r="F450" s="1">
        <v>43678</v>
      </c>
      <c r="G450">
        <v>8</v>
      </c>
      <c r="H450" t="s">
        <v>16</v>
      </c>
      <c r="I450">
        <v>2019</v>
      </c>
      <c r="J450">
        <f t="shared" si="6"/>
        <v>16926</v>
      </c>
    </row>
    <row r="451" spans="1:10" x14ac:dyDescent="0.25">
      <c r="A451" t="s">
        <v>21</v>
      </c>
      <c r="B451" t="s">
        <v>31</v>
      </c>
      <c r="C451">
        <v>639</v>
      </c>
      <c r="D451">
        <v>6</v>
      </c>
      <c r="E451">
        <v>2.75</v>
      </c>
      <c r="F451" s="1">
        <v>43770</v>
      </c>
      <c r="G451">
        <v>11</v>
      </c>
      <c r="H451" t="s">
        <v>25</v>
      </c>
      <c r="I451">
        <v>2019</v>
      </c>
      <c r="J451">
        <f t="shared" ref="J451:J514" si="7">C451*D451</f>
        <v>3834</v>
      </c>
    </row>
    <row r="452" spans="1:10" x14ac:dyDescent="0.25">
      <c r="A452" t="s">
        <v>21</v>
      </c>
      <c r="B452" t="s">
        <v>31</v>
      </c>
      <c r="C452">
        <v>3864</v>
      </c>
      <c r="D452">
        <v>6</v>
      </c>
      <c r="E452">
        <v>2.75</v>
      </c>
      <c r="F452" s="1">
        <v>43556</v>
      </c>
      <c r="G452">
        <v>4</v>
      </c>
      <c r="H452" t="s">
        <v>24</v>
      </c>
      <c r="I452">
        <v>2019</v>
      </c>
      <c r="J452">
        <f t="shared" si="7"/>
        <v>23184</v>
      </c>
    </row>
    <row r="453" spans="1:10" x14ac:dyDescent="0.25">
      <c r="A453" t="s">
        <v>12</v>
      </c>
      <c r="B453" t="s">
        <v>31</v>
      </c>
      <c r="C453">
        <v>362</v>
      </c>
      <c r="D453">
        <v>6</v>
      </c>
      <c r="E453">
        <v>2.75</v>
      </c>
      <c r="F453" s="1">
        <v>43586</v>
      </c>
      <c r="G453">
        <v>5</v>
      </c>
      <c r="H453" t="s">
        <v>23</v>
      </c>
      <c r="I453">
        <v>2019</v>
      </c>
      <c r="J453">
        <f t="shared" si="7"/>
        <v>2172</v>
      </c>
    </row>
    <row r="454" spans="1:10" x14ac:dyDescent="0.25">
      <c r="A454" t="s">
        <v>9</v>
      </c>
      <c r="B454" t="s">
        <v>31</v>
      </c>
      <c r="C454">
        <v>923</v>
      </c>
      <c r="D454">
        <v>6</v>
      </c>
      <c r="E454">
        <v>2.75</v>
      </c>
      <c r="F454" s="1">
        <v>43678</v>
      </c>
      <c r="G454">
        <v>8</v>
      </c>
      <c r="H454" t="s">
        <v>16</v>
      </c>
      <c r="I454">
        <v>2019</v>
      </c>
      <c r="J454">
        <f t="shared" si="7"/>
        <v>5538</v>
      </c>
    </row>
    <row r="455" spans="1:10" x14ac:dyDescent="0.25">
      <c r="A455" t="s">
        <v>18</v>
      </c>
      <c r="B455" t="s">
        <v>31</v>
      </c>
      <c r="C455">
        <v>1566</v>
      </c>
      <c r="D455">
        <v>6</v>
      </c>
      <c r="E455">
        <v>2.75</v>
      </c>
      <c r="F455" s="1">
        <v>43739</v>
      </c>
      <c r="G455">
        <v>10</v>
      </c>
      <c r="H455" t="s">
        <v>19</v>
      </c>
      <c r="I455">
        <v>2019</v>
      </c>
      <c r="J455">
        <f t="shared" si="7"/>
        <v>9396</v>
      </c>
    </row>
    <row r="456" spans="1:10" x14ac:dyDescent="0.25">
      <c r="A456" t="s">
        <v>14</v>
      </c>
      <c r="B456" t="s">
        <v>31</v>
      </c>
      <c r="C456">
        <v>2877</v>
      </c>
      <c r="D456">
        <v>6</v>
      </c>
      <c r="E456">
        <v>2.75</v>
      </c>
      <c r="F456" s="1">
        <v>43739</v>
      </c>
      <c r="G456">
        <v>10</v>
      </c>
      <c r="H456" t="s">
        <v>19</v>
      </c>
      <c r="I456">
        <v>2019</v>
      </c>
      <c r="J456">
        <f t="shared" si="7"/>
        <v>17262</v>
      </c>
    </row>
    <row r="457" spans="1:10" x14ac:dyDescent="0.25">
      <c r="A457" t="s">
        <v>21</v>
      </c>
      <c r="B457" t="s">
        <v>31</v>
      </c>
      <c r="C457">
        <v>1055</v>
      </c>
      <c r="D457">
        <v>6</v>
      </c>
      <c r="E457">
        <v>2.75</v>
      </c>
      <c r="F457" s="1">
        <v>43800</v>
      </c>
      <c r="G457">
        <v>12</v>
      </c>
      <c r="H457" t="s">
        <v>20</v>
      </c>
      <c r="I457">
        <v>2019</v>
      </c>
      <c r="J457">
        <f t="shared" si="7"/>
        <v>6330</v>
      </c>
    </row>
    <row r="458" spans="1:10" x14ac:dyDescent="0.25">
      <c r="A458" t="s">
        <v>12</v>
      </c>
      <c r="B458" t="s">
        <v>31</v>
      </c>
      <c r="C458">
        <v>1084</v>
      </c>
      <c r="D458">
        <v>6</v>
      </c>
      <c r="E458">
        <v>2.75</v>
      </c>
      <c r="F458" s="1">
        <v>43800</v>
      </c>
      <c r="G458">
        <v>12</v>
      </c>
      <c r="H458" t="s">
        <v>20</v>
      </c>
      <c r="I458">
        <v>2019</v>
      </c>
      <c r="J458">
        <f t="shared" si="7"/>
        <v>6504</v>
      </c>
    </row>
    <row r="459" spans="1:10" x14ac:dyDescent="0.25">
      <c r="A459" t="s">
        <v>9</v>
      </c>
      <c r="B459" t="s">
        <v>31</v>
      </c>
      <c r="C459">
        <v>2009</v>
      </c>
      <c r="D459">
        <v>6</v>
      </c>
      <c r="E459">
        <v>2.75</v>
      </c>
      <c r="F459" s="1">
        <v>43739</v>
      </c>
      <c r="G459">
        <v>10</v>
      </c>
      <c r="H459" t="s">
        <v>19</v>
      </c>
      <c r="I459">
        <v>2019</v>
      </c>
      <c r="J459">
        <f t="shared" si="7"/>
        <v>12054</v>
      </c>
    </row>
    <row r="460" spans="1:10" x14ac:dyDescent="0.25">
      <c r="A460" t="s">
        <v>9</v>
      </c>
      <c r="B460" t="s">
        <v>31</v>
      </c>
      <c r="C460">
        <v>3850.5</v>
      </c>
      <c r="D460">
        <v>6</v>
      </c>
      <c r="E460">
        <v>2.75</v>
      </c>
      <c r="F460" s="1">
        <v>43556</v>
      </c>
      <c r="G460">
        <v>4</v>
      </c>
      <c r="H460" t="s">
        <v>24</v>
      </c>
      <c r="I460">
        <v>2019</v>
      </c>
      <c r="J460">
        <f t="shared" si="7"/>
        <v>23103</v>
      </c>
    </row>
    <row r="461" spans="1:10" x14ac:dyDescent="0.25">
      <c r="A461" t="s">
        <v>18</v>
      </c>
      <c r="B461" t="s">
        <v>31</v>
      </c>
      <c r="C461">
        <v>1465</v>
      </c>
      <c r="D461">
        <v>6</v>
      </c>
      <c r="E461">
        <v>2.75</v>
      </c>
      <c r="F461" s="1">
        <v>43525</v>
      </c>
      <c r="G461">
        <v>3</v>
      </c>
      <c r="H461" t="s">
        <v>26</v>
      </c>
      <c r="I461">
        <v>2019</v>
      </c>
      <c r="J461">
        <f t="shared" si="7"/>
        <v>8790</v>
      </c>
    </row>
    <row r="462" spans="1:10" x14ac:dyDescent="0.25">
      <c r="A462" t="s">
        <v>21</v>
      </c>
      <c r="B462" t="s">
        <v>31</v>
      </c>
      <c r="C462">
        <v>2177</v>
      </c>
      <c r="D462">
        <v>6</v>
      </c>
      <c r="E462">
        <v>2.75</v>
      </c>
      <c r="F462" s="1">
        <v>43739</v>
      </c>
      <c r="G462">
        <v>10</v>
      </c>
      <c r="H462" t="s">
        <v>19</v>
      </c>
      <c r="I462">
        <v>2019</v>
      </c>
      <c r="J462">
        <f t="shared" si="7"/>
        <v>13062</v>
      </c>
    </row>
    <row r="463" spans="1:10" x14ac:dyDescent="0.25">
      <c r="A463" t="s">
        <v>9</v>
      </c>
      <c r="B463" t="s">
        <v>31</v>
      </c>
      <c r="C463">
        <v>2431</v>
      </c>
      <c r="D463">
        <v>6</v>
      </c>
      <c r="E463">
        <v>2.75</v>
      </c>
      <c r="F463" s="1">
        <v>43800</v>
      </c>
      <c r="G463">
        <v>12</v>
      </c>
      <c r="H463" t="s">
        <v>20</v>
      </c>
      <c r="I463">
        <v>2019</v>
      </c>
      <c r="J463">
        <f t="shared" si="7"/>
        <v>14586</v>
      </c>
    </row>
    <row r="464" spans="1:10" x14ac:dyDescent="0.25">
      <c r="A464" t="s">
        <v>18</v>
      </c>
      <c r="B464" t="s">
        <v>31</v>
      </c>
      <c r="C464">
        <v>555</v>
      </c>
      <c r="D464">
        <v>6</v>
      </c>
      <c r="E464">
        <v>2.75</v>
      </c>
      <c r="F464" s="1">
        <v>43466</v>
      </c>
      <c r="G464">
        <v>1</v>
      </c>
      <c r="H464" t="s">
        <v>22</v>
      </c>
      <c r="I464">
        <v>2019</v>
      </c>
      <c r="J464">
        <f t="shared" si="7"/>
        <v>3330</v>
      </c>
    </row>
    <row r="465" spans="1:10" x14ac:dyDescent="0.25">
      <c r="A465" t="s">
        <v>12</v>
      </c>
      <c r="B465" t="s">
        <v>31</v>
      </c>
      <c r="C465">
        <v>2861</v>
      </c>
      <c r="D465">
        <v>6</v>
      </c>
      <c r="E465">
        <v>2.75</v>
      </c>
      <c r="F465" s="1">
        <v>43466</v>
      </c>
      <c r="G465">
        <v>1</v>
      </c>
      <c r="H465" t="s">
        <v>22</v>
      </c>
      <c r="I465">
        <v>2019</v>
      </c>
      <c r="J465">
        <f t="shared" si="7"/>
        <v>17166</v>
      </c>
    </row>
    <row r="466" spans="1:10" x14ac:dyDescent="0.25">
      <c r="A466" t="s">
        <v>14</v>
      </c>
      <c r="B466" t="s">
        <v>31</v>
      </c>
      <c r="C466">
        <v>807</v>
      </c>
      <c r="D466">
        <v>6</v>
      </c>
      <c r="E466">
        <v>2.75</v>
      </c>
      <c r="F466" s="1">
        <v>43497</v>
      </c>
      <c r="G466">
        <v>2</v>
      </c>
      <c r="H466" t="s">
        <v>11</v>
      </c>
      <c r="I466">
        <v>2019</v>
      </c>
      <c r="J466">
        <f t="shared" si="7"/>
        <v>4842</v>
      </c>
    </row>
    <row r="467" spans="1:10" x14ac:dyDescent="0.25">
      <c r="A467" t="s">
        <v>18</v>
      </c>
      <c r="B467" t="s">
        <v>31</v>
      </c>
      <c r="C467">
        <v>602</v>
      </c>
      <c r="D467">
        <v>6</v>
      </c>
      <c r="E467">
        <v>2.75</v>
      </c>
      <c r="F467" s="1">
        <v>43617</v>
      </c>
      <c r="G467">
        <v>6</v>
      </c>
      <c r="H467" t="s">
        <v>13</v>
      </c>
      <c r="I467">
        <v>2019</v>
      </c>
      <c r="J467">
        <f t="shared" si="7"/>
        <v>3612</v>
      </c>
    </row>
    <row r="468" spans="1:10" x14ac:dyDescent="0.25">
      <c r="A468" t="s">
        <v>18</v>
      </c>
      <c r="B468" t="s">
        <v>31</v>
      </c>
      <c r="C468">
        <v>2832</v>
      </c>
      <c r="D468">
        <v>6</v>
      </c>
      <c r="E468">
        <v>2.75</v>
      </c>
      <c r="F468" s="1">
        <v>43678</v>
      </c>
      <c r="G468">
        <v>8</v>
      </c>
      <c r="H468" t="s">
        <v>16</v>
      </c>
      <c r="I468">
        <v>2019</v>
      </c>
      <c r="J468">
        <f t="shared" si="7"/>
        <v>16992</v>
      </c>
    </row>
    <row r="469" spans="1:10" x14ac:dyDescent="0.25">
      <c r="A469" t="s">
        <v>21</v>
      </c>
      <c r="B469" t="s">
        <v>31</v>
      </c>
      <c r="C469">
        <v>1579</v>
      </c>
      <c r="D469">
        <v>6</v>
      </c>
      <c r="E469">
        <v>2.75</v>
      </c>
      <c r="F469" s="1">
        <v>43678</v>
      </c>
      <c r="G469">
        <v>8</v>
      </c>
      <c r="H469" t="s">
        <v>16</v>
      </c>
      <c r="I469">
        <v>2019</v>
      </c>
      <c r="J469">
        <f t="shared" si="7"/>
        <v>9474</v>
      </c>
    </row>
    <row r="470" spans="1:10" x14ac:dyDescent="0.25">
      <c r="A470" t="s">
        <v>18</v>
      </c>
      <c r="B470" t="s">
        <v>31</v>
      </c>
      <c r="C470">
        <v>861</v>
      </c>
      <c r="D470">
        <v>6</v>
      </c>
      <c r="E470">
        <v>2.75</v>
      </c>
      <c r="F470" s="1">
        <v>43739</v>
      </c>
      <c r="G470">
        <v>10</v>
      </c>
      <c r="H470" t="s">
        <v>19</v>
      </c>
      <c r="I470">
        <v>2019</v>
      </c>
      <c r="J470">
        <f t="shared" si="7"/>
        <v>5166</v>
      </c>
    </row>
    <row r="471" spans="1:10" x14ac:dyDescent="0.25">
      <c r="A471" t="s">
        <v>14</v>
      </c>
      <c r="B471" t="s">
        <v>31</v>
      </c>
      <c r="C471">
        <v>1250</v>
      </c>
      <c r="D471">
        <v>6</v>
      </c>
      <c r="E471">
        <v>2.75</v>
      </c>
      <c r="F471" s="1">
        <v>43800</v>
      </c>
      <c r="G471">
        <v>12</v>
      </c>
      <c r="H471" t="s">
        <v>20</v>
      </c>
      <c r="I471">
        <v>2019</v>
      </c>
      <c r="J471">
        <f t="shared" si="7"/>
        <v>7500</v>
      </c>
    </row>
    <row r="472" spans="1:10" x14ac:dyDescent="0.25">
      <c r="A472" t="s">
        <v>9</v>
      </c>
      <c r="B472" t="s">
        <v>31</v>
      </c>
      <c r="C472">
        <v>952</v>
      </c>
      <c r="D472">
        <v>6</v>
      </c>
      <c r="E472">
        <v>2.75</v>
      </c>
      <c r="F472" s="1">
        <v>43497</v>
      </c>
      <c r="G472">
        <v>2</v>
      </c>
      <c r="H472" t="s">
        <v>11</v>
      </c>
      <c r="I472">
        <v>2019</v>
      </c>
      <c r="J472">
        <f t="shared" si="7"/>
        <v>5712</v>
      </c>
    </row>
    <row r="473" spans="1:10" x14ac:dyDescent="0.25">
      <c r="A473" t="s">
        <v>18</v>
      </c>
      <c r="B473" t="s">
        <v>31</v>
      </c>
      <c r="C473">
        <v>2755</v>
      </c>
      <c r="D473">
        <v>6</v>
      </c>
      <c r="E473">
        <v>2.75</v>
      </c>
      <c r="F473" s="1">
        <v>43497</v>
      </c>
      <c r="G473">
        <v>2</v>
      </c>
      <c r="H473" t="s">
        <v>11</v>
      </c>
      <c r="I473">
        <v>2019</v>
      </c>
      <c r="J473">
        <f t="shared" si="7"/>
        <v>16530</v>
      </c>
    </row>
    <row r="474" spans="1:10" x14ac:dyDescent="0.25">
      <c r="A474" t="s">
        <v>14</v>
      </c>
      <c r="B474" t="s">
        <v>31</v>
      </c>
      <c r="C474">
        <v>1530</v>
      </c>
      <c r="D474">
        <v>6</v>
      </c>
      <c r="E474">
        <v>2.75</v>
      </c>
      <c r="F474" s="1">
        <v>43586</v>
      </c>
      <c r="G474">
        <v>5</v>
      </c>
      <c r="H474" t="s">
        <v>23</v>
      </c>
      <c r="I474">
        <v>2019</v>
      </c>
      <c r="J474">
        <f t="shared" si="7"/>
        <v>9180</v>
      </c>
    </row>
    <row r="475" spans="1:10" x14ac:dyDescent="0.25">
      <c r="A475" t="s">
        <v>21</v>
      </c>
      <c r="B475" t="s">
        <v>31</v>
      </c>
      <c r="C475">
        <v>1496</v>
      </c>
      <c r="D475">
        <v>6</v>
      </c>
      <c r="E475">
        <v>2.75</v>
      </c>
      <c r="F475" s="1">
        <v>43617</v>
      </c>
      <c r="G475">
        <v>6</v>
      </c>
      <c r="H475" t="s">
        <v>13</v>
      </c>
      <c r="I475">
        <v>2019</v>
      </c>
      <c r="J475">
        <f t="shared" si="7"/>
        <v>8976</v>
      </c>
    </row>
    <row r="476" spans="1:10" x14ac:dyDescent="0.25">
      <c r="A476" t="s">
        <v>12</v>
      </c>
      <c r="B476" t="s">
        <v>31</v>
      </c>
      <c r="C476">
        <v>1498</v>
      </c>
      <c r="D476">
        <v>6</v>
      </c>
      <c r="E476">
        <v>2.75</v>
      </c>
      <c r="F476" s="1">
        <v>43617</v>
      </c>
      <c r="G476">
        <v>6</v>
      </c>
      <c r="H476" t="s">
        <v>13</v>
      </c>
      <c r="I476">
        <v>2019</v>
      </c>
      <c r="J476">
        <f t="shared" si="7"/>
        <v>8988</v>
      </c>
    </row>
    <row r="477" spans="1:10" x14ac:dyDescent="0.25">
      <c r="A477" t="s">
        <v>14</v>
      </c>
      <c r="B477" t="s">
        <v>31</v>
      </c>
      <c r="C477">
        <v>1001</v>
      </c>
      <c r="D477">
        <v>6</v>
      </c>
      <c r="E477">
        <v>2.75</v>
      </c>
      <c r="F477" s="1">
        <v>43678</v>
      </c>
      <c r="G477">
        <v>8</v>
      </c>
      <c r="H477" t="s">
        <v>16</v>
      </c>
      <c r="I477">
        <v>2019</v>
      </c>
      <c r="J477">
        <f t="shared" si="7"/>
        <v>6006</v>
      </c>
    </row>
    <row r="478" spans="1:10" x14ac:dyDescent="0.25">
      <c r="A478" t="s">
        <v>12</v>
      </c>
      <c r="B478" t="s">
        <v>31</v>
      </c>
      <c r="C478">
        <v>1333</v>
      </c>
      <c r="D478">
        <v>6</v>
      </c>
      <c r="E478">
        <v>2.75</v>
      </c>
      <c r="F478" s="1">
        <v>43770</v>
      </c>
      <c r="G478">
        <v>11</v>
      </c>
      <c r="H478" t="s">
        <v>25</v>
      </c>
      <c r="I478">
        <v>2019</v>
      </c>
      <c r="J478">
        <f t="shared" si="7"/>
        <v>7998</v>
      </c>
    </row>
    <row r="479" spans="1:10" x14ac:dyDescent="0.25">
      <c r="A479" t="s">
        <v>9</v>
      </c>
      <c r="B479" t="s">
        <v>31</v>
      </c>
      <c r="C479">
        <v>1262</v>
      </c>
      <c r="D479">
        <v>6</v>
      </c>
      <c r="E479">
        <v>2.75</v>
      </c>
      <c r="F479" s="1">
        <v>43586</v>
      </c>
      <c r="G479">
        <v>5</v>
      </c>
      <c r="H479" t="s">
        <v>23</v>
      </c>
      <c r="I479">
        <v>2019</v>
      </c>
      <c r="J479">
        <f t="shared" si="7"/>
        <v>7572</v>
      </c>
    </row>
    <row r="480" spans="1:10" x14ac:dyDescent="0.25">
      <c r="A480" t="s">
        <v>9</v>
      </c>
      <c r="B480" t="s">
        <v>31</v>
      </c>
      <c r="C480">
        <v>1135</v>
      </c>
      <c r="D480">
        <v>6</v>
      </c>
      <c r="E480">
        <v>2.75</v>
      </c>
      <c r="F480" s="1">
        <v>43617</v>
      </c>
      <c r="G480">
        <v>6</v>
      </c>
      <c r="H480" t="s">
        <v>13</v>
      </c>
      <c r="I480">
        <v>2019</v>
      </c>
      <c r="J480">
        <f t="shared" si="7"/>
        <v>6810</v>
      </c>
    </row>
    <row r="481" spans="1:10" x14ac:dyDescent="0.25">
      <c r="A481" t="s">
        <v>18</v>
      </c>
      <c r="B481" t="s">
        <v>31</v>
      </c>
      <c r="C481">
        <v>547</v>
      </c>
      <c r="D481">
        <v>6</v>
      </c>
      <c r="E481">
        <v>2.75</v>
      </c>
      <c r="F481" s="1">
        <v>43770</v>
      </c>
      <c r="G481">
        <v>11</v>
      </c>
      <c r="H481" t="s">
        <v>25</v>
      </c>
      <c r="I481">
        <v>2019</v>
      </c>
      <c r="J481">
        <f t="shared" si="7"/>
        <v>3282</v>
      </c>
    </row>
    <row r="482" spans="1:10" x14ac:dyDescent="0.25">
      <c r="A482" t="s">
        <v>9</v>
      </c>
      <c r="B482" t="s">
        <v>31</v>
      </c>
      <c r="C482">
        <v>1582</v>
      </c>
      <c r="D482">
        <v>6</v>
      </c>
      <c r="E482">
        <v>2.75</v>
      </c>
      <c r="F482" s="1">
        <v>43800</v>
      </c>
      <c r="G482">
        <v>12</v>
      </c>
      <c r="H482" t="s">
        <v>20</v>
      </c>
      <c r="I482">
        <v>2019</v>
      </c>
      <c r="J482">
        <f t="shared" si="7"/>
        <v>9492</v>
      </c>
    </row>
    <row r="483" spans="1:10" x14ac:dyDescent="0.25">
      <c r="A483" t="s">
        <v>21</v>
      </c>
      <c r="B483" t="s">
        <v>31</v>
      </c>
      <c r="C483">
        <v>1659</v>
      </c>
      <c r="D483">
        <v>6</v>
      </c>
      <c r="E483">
        <v>2.75</v>
      </c>
      <c r="F483" s="1">
        <v>43647</v>
      </c>
      <c r="G483">
        <v>7</v>
      </c>
      <c r="H483" t="s">
        <v>15</v>
      </c>
      <c r="I483">
        <v>2019</v>
      </c>
      <c r="J483">
        <f t="shared" si="7"/>
        <v>9954</v>
      </c>
    </row>
    <row r="484" spans="1:10" x14ac:dyDescent="0.25">
      <c r="A484" t="s">
        <v>12</v>
      </c>
      <c r="B484" t="s">
        <v>31</v>
      </c>
      <c r="C484">
        <v>609</v>
      </c>
      <c r="D484">
        <v>6</v>
      </c>
      <c r="E484">
        <v>2.75</v>
      </c>
      <c r="F484" s="1">
        <v>43678</v>
      </c>
      <c r="G484">
        <v>8</v>
      </c>
      <c r="H484" t="s">
        <v>16</v>
      </c>
      <c r="I484">
        <v>2019</v>
      </c>
      <c r="J484">
        <f t="shared" si="7"/>
        <v>3654</v>
      </c>
    </row>
    <row r="485" spans="1:10" x14ac:dyDescent="0.25">
      <c r="A485" t="s">
        <v>14</v>
      </c>
      <c r="B485" t="s">
        <v>31</v>
      </c>
      <c r="C485">
        <v>2087</v>
      </c>
      <c r="D485">
        <v>6</v>
      </c>
      <c r="E485">
        <v>2.75</v>
      </c>
      <c r="F485" s="1">
        <v>43709</v>
      </c>
      <c r="G485">
        <v>9</v>
      </c>
      <c r="H485" t="s">
        <v>17</v>
      </c>
      <c r="I485">
        <v>2019</v>
      </c>
      <c r="J485">
        <f t="shared" si="7"/>
        <v>12522</v>
      </c>
    </row>
    <row r="486" spans="1:10" x14ac:dyDescent="0.25">
      <c r="A486" t="s">
        <v>21</v>
      </c>
      <c r="B486" t="s">
        <v>31</v>
      </c>
      <c r="C486">
        <v>1976</v>
      </c>
      <c r="D486">
        <v>6</v>
      </c>
      <c r="E486">
        <v>2.75</v>
      </c>
      <c r="F486" s="1">
        <v>43739</v>
      </c>
      <c r="G486">
        <v>10</v>
      </c>
      <c r="H486" t="s">
        <v>19</v>
      </c>
      <c r="I486">
        <v>2019</v>
      </c>
      <c r="J486">
        <f t="shared" si="7"/>
        <v>11856</v>
      </c>
    </row>
    <row r="487" spans="1:10" x14ac:dyDescent="0.25">
      <c r="A487" t="s">
        <v>18</v>
      </c>
      <c r="B487" t="s">
        <v>31</v>
      </c>
      <c r="C487">
        <v>1372</v>
      </c>
      <c r="D487">
        <v>6</v>
      </c>
      <c r="E487">
        <v>2.75</v>
      </c>
      <c r="F487" s="1">
        <v>43800</v>
      </c>
      <c r="G487">
        <v>12</v>
      </c>
      <c r="H487" t="s">
        <v>20</v>
      </c>
      <c r="I487">
        <v>2019</v>
      </c>
      <c r="J487">
        <f t="shared" si="7"/>
        <v>8232</v>
      </c>
    </row>
    <row r="488" spans="1:10" x14ac:dyDescent="0.25">
      <c r="A488" t="s">
        <v>9</v>
      </c>
      <c r="B488" t="s">
        <v>31</v>
      </c>
      <c r="C488">
        <v>598</v>
      </c>
      <c r="D488">
        <v>6</v>
      </c>
      <c r="E488">
        <v>2.75</v>
      </c>
      <c r="F488" s="1">
        <v>43525</v>
      </c>
      <c r="G488">
        <v>3</v>
      </c>
      <c r="H488" t="s">
        <v>26</v>
      </c>
      <c r="I488">
        <v>2019</v>
      </c>
      <c r="J488">
        <f t="shared" si="7"/>
        <v>3588</v>
      </c>
    </row>
    <row r="489" spans="1:10" x14ac:dyDescent="0.25">
      <c r="A489" t="s">
        <v>18</v>
      </c>
      <c r="B489" t="s">
        <v>31</v>
      </c>
      <c r="C489">
        <v>2907</v>
      </c>
      <c r="D489">
        <v>6</v>
      </c>
      <c r="E489">
        <v>2.75</v>
      </c>
      <c r="F489" s="1">
        <v>43617</v>
      </c>
      <c r="G489">
        <v>6</v>
      </c>
      <c r="H489" t="s">
        <v>13</v>
      </c>
      <c r="I489">
        <v>2019</v>
      </c>
      <c r="J489">
        <f t="shared" si="7"/>
        <v>17442</v>
      </c>
    </row>
    <row r="490" spans="1:10" x14ac:dyDescent="0.25">
      <c r="A490" t="s">
        <v>14</v>
      </c>
      <c r="B490" t="s">
        <v>31</v>
      </c>
      <c r="C490">
        <v>2338</v>
      </c>
      <c r="D490">
        <v>6</v>
      </c>
      <c r="E490">
        <v>2.75</v>
      </c>
      <c r="F490" s="1">
        <v>43617</v>
      </c>
      <c r="G490">
        <v>6</v>
      </c>
      <c r="H490" t="s">
        <v>13</v>
      </c>
      <c r="I490">
        <v>2019</v>
      </c>
      <c r="J490">
        <f t="shared" si="7"/>
        <v>14028</v>
      </c>
    </row>
    <row r="491" spans="1:10" x14ac:dyDescent="0.25">
      <c r="A491" t="s">
        <v>12</v>
      </c>
      <c r="B491" t="s">
        <v>31</v>
      </c>
      <c r="C491">
        <v>635</v>
      </c>
      <c r="D491">
        <v>6</v>
      </c>
      <c r="E491">
        <v>2.75</v>
      </c>
      <c r="F491" s="1">
        <v>43800</v>
      </c>
      <c r="G491">
        <v>12</v>
      </c>
      <c r="H491" t="s">
        <v>20</v>
      </c>
      <c r="I491">
        <v>2019</v>
      </c>
      <c r="J491">
        <f t="shared" si="7"/>
        <v>3810</v>
      </c>
    </row>
    <row r="492" spans="1:10" x14ac:dyDescent="0.25">
      <c r="A492" t="s">
        <v>12</v>
      </c>
      <c r="B492" t="s">
        <v>31</v>
      </c>
      <c r="C492">
        <v>245</v>
      </c>
      <c r="D492">
        <v>6</v>
      </c>
      <c r="E492">
        <v>2.75</v>
      </c>
      <c r="F492" s="1">
        <v>43586</v>
      </c>
      <c r="G492">
        <v>5</v>
      </c>
      <c r="H492" t="s">
        <v>23</v>
      </c>
      <c r="I492">
        <v>2019</v>
      </c>
      <c r="J492">
        <f t="shared" si="7"/>
        <v>1470</v>
      </c>
    </row>
    <row r="493" spans="1:10" x14ac:dyDescent="0.25">
      <c r="A493" t="s">
        <v>9</v>
      </c>
      <c r="B493" t="s">
        <v>31</v>
      </c>
      <c r="C493">
        <v>3793.5</v>
      </c>
      <c r="D493">
        <v>6</v>
      </c>
      <c r="E493">
        <v>2.75</v>
      </c>
      <c r="F493" s="1">
        <v>43647</v>
      </c>
      <c r="G493">
        <v>7</v>
      </c>
      <c r="H493" t="s">
        <v>15</v>
      </c>
      <c r="I493">
        <v>2019</v>
      </c>
      <c r="J493">
        <f t="shared" si="7"/>
        <v>22761</v>
      </c>
    </row>
    <row r="494" spans="1:10" x14ac:dyDescent="0.25">
      <c r="A494" t="s">
        <v>14</v>
      </c>
      <c r="B494" t="s">
        <v>31</v>
      </c>
      <c r="C494">
        <v>1307</v>
      </c>
      <c r="D494">
        <v>6</v>
      </c>
      <c r="E494">
        <v>2.75</v>
      </c>
      <c r="F494" s="1">
        <v>43647</v>
      </c>
      <c r="G494">
        <v>7</v>
      </c>
      <c r="H494" t="s">
        <v>15</v>
      </c>
      <c r="I494">
        <v>2019</v>
      </c>
      <c r="J494">
        <f t="shared" si="7"/>
        <v>7842</v>
      </c>
    </row>
    <row r="495" spans="1:10" x14ac:dyDescent="0.25">
      <c r="A495" t="s">
        <v>9</v>
      </c>
      <c r="B495" t="s">
        <v>31</v>
      </c>
      <c r="C495">
        <v>567</v>
      </c>
      <c r="D495">
        <v>6</v>
      </c>
      <c r="E495">
        <v>2.75</v>
      </c>
      <c r="F495" s="1">
        <v>43709</v>
      </c>
      <c r="G495">
        <v>9</v>
      </c>
      <c r="H495" t="s">
        <v>17</v>
      </c>
      <c r="I495">
        <v>2019</v>
      </c>
      <c r="J495">
        <f t="shared" si="7"/>
        <v>3402</v>
      </c>
    </row>
    <row r="496" spans="1:10" x14ac:dyDescent="0.25">
      <c r="A496" t="s">
        <v>12</v>
      </c>
      <c r="B496" t="s">
        <v>31</v>
      </c>
      <c r="C496">
        <v>2110</v>
      </c>
      <c r="D496">
        <v>6</v>
      </c>
      <c r="E496">
        <v>2.75</v>
      </c>
      <c r="F496" s="1">
        <v>43709</v>
      </c>
      <c r="G496">
        <v>9</v>
      </c>
      <c r="H496" t="s">
        <v>17</v>
      </c>
      <c r="I496">
        <v>2019</v>
      </c>
      <c r="J496">
        <f t="shared" si="7"/>
        <v>12660</v>
      </c>
    </row>
    <row r="497" spans="1:10" x14ac:dyDescent="0.25">
      <c r="A497" t="s">
        <v>9</v>
      </c>
      <c r="B497" t="s">
        <v>31</v>
      </c>
      <c r="C497">
        <v>1269</v>
      </c>
      <c r="D497">
        <v>6</v>
      </c>
      <c r="E497">
        <v>2.75</v>
      </c>
      <c r="F497" s="1">
        <v>43739</v>
      </c>
      <c r="G497">
        <v>10</v>
      </c>
      <c r="H497" t="s">
        <v>19</v>
      </c>
      <c r="I497">
        <v>2019</v>
      </c>
      <c r="J497">
        <f t="shared" si="7"/>
        <v>7614</v>
      </c>
    </row>
    <row r="498" spans="1:10" x14ac:dyDescent="0.25">
      <c r="A498" t="s">
        <v>21</v>
      </c>
      <c r="B498" t="s">
        <v>31</v>
      </c>
      <c r="C498">
        <v>1967</v>
      </c>
      <c r="D498">
        <v>6</v>
      </c>
      <c r="E498">
        <v>2.75</v>
      </c>
      <c r="F498" s="1">
        <v>43525</v>
      </c>
      <c r="G498">
        <v>3</v>
      </c>
      <c r="H498" t="s">
        <v>26</v>
      </c>
      <c r="I498">
        <v>2019</v>
      </c>
      <c r="J498">
        <f t="shared" si="7"/>
        <v>11802</v>
      </c>
    </row>
    <row r="499" spans="1:10" x14ac:dyDescent="0.25">
      <c r="A499" t="s">
        <v>12</v>
      </c>
      <c r="B499" t="s">
        <v>31</v>
      </c>
      <c r="C499">
        <v>2628</v>
      </c>
      <c r="D499">
        <v>6</v>
      </c>
      <c r="E499">
        <v>2.75</v>
      </c>
      <c r="F499" s="1">
        <v>43556</v>
      </c>
      <c r="G499">
        <v>4</v>
      </c>
      <c r="H499" t="s">
        <v>24</v>
      </c>
      <c r="I499">
        <v>2019</v>
      </c>
      <c r="J499">
        <f t="shared" si="7"/>
        <v>15768</v>
      </c>
    </row>
    <row r="500" spans="1:10" x14ac:dyDescent="0.25">
      <c r="A500" t="s">
        <v>14</v>
      </c>
      <c r="B500" t="s">
        <v>31</v>
      </c>
      <c r="C500">
        <v>681</v>
      </c>
      <c r="D500">
        <v>6</v>
      </c>
      <c r="E500">
        <v>2.75</v>
      </c>
      <c r="F500" s="1">
        <v>43466</v>
      </c>
      <c r="G500">
        <v>1</v>
      </c>
      <c r="H500" t="s">
        <v>22</v>
      </c>
      <c r="I500">
        <v>2019</v>
      </c>
      <c r="J500">
        <f t="shared" si="7"/>
        <v>4086</v>
      </c>
    </row>
    <row r="501" spans="1:10" x14ac:dyDescent="0.25">
      <c r="A501" t="s">
        <v>14</v>
      </c>
      <c r="B501" t="s">
        <v>31</v>
      </c>
      <c r="C501">
        <v>510</v>
      </c>
      <c r="D501">
        <v>6</v>
      </c>
      <c r="E501">
        <v>2.75</v>
      </c>
      <c r="F501" s="1">
        <v>43556</v>
      </c>
      <c r="G501">
        <v>4</v>
      </c>
      <c r="H501" t="s">
        <v>24</v>
      </c>
      <c r="I501">
        <v>2019</v>
      </c>
      <c r="J501">
        <f t="shared" si="7"/>
        <v>3060</v>
      </c>
    </row>
    <row r="502" spans="1:10" x14ac:dyDescent="0.25">
      <c r="A502" t="s">
        <v>18</v>
      </c>
      <c r="B502" t="s">
        <v>31</v>
      </c>
      <c r="C502">
        <v>790</v>
      </c>
      <c r="D502">
        <v>6</v>
      </c>
      <c r="E502">
        <v>2.75</v>
      </c>
      <c r="F502" s="1">
        <v>43586</v>
      </c>
      <c r="G502">
        <v>5</v>
      </c>
      <c r="H502" t="s">
        <v>23</v>
      </c>
      <c r="I502">
        <v>2019</v>
      </c>
      <c r="J502">
        <f t="shared" si="7"/>
        <v>4740</v>
      </c>
    </row>
    <row r="503" spans="1:10" x14ac:dyDescent="0.25">
      <c r="A503" t="s">
        <v>21</v>
      </c>
      <c r="B503" t="s">
        <v>31</v>
      </c>
      <c r="C503">
        <v>639</v>
      </c>
      <c r="D503">
        <v>6</v>
      </c>
      <c r="E503">
        <v>2.75</v>
      </c>
      <c r="F503" s="1">
        <v>43647</v>
      </c>
      <c r="G503">
        <v>7</v>
      </c>
      <c r="H503" t="s">
        <v>15</v>
      </c>
      <c r="I503">
        <v>2019</v>
      </c>
      <c r="J503">
        <f t="shared" si="7"/>
        <v>3834</v>
      </c>
    </row>
    <row r="504" spans="1:10" x14ac:dyDescent="0.25">
      <c r="A504" t="s">
        <v>18</v>
      </c>
      <c r="B504" t="s">
        <v>31</v>
      </c>
      <c r="C504">
        <v>1596</v>
      </c>
      <c r="D504">
        <v>6</v>
      </c>
      <c r="E504">
        <v>2.75</v>
      </c>
      <c r="F504" s="1">
        <v>43709</v>
      </c>
      <c r="G504">
        <v>9</v>
      </c>
      <c r="H504" t="s">
        <v>17</v>
      </c>
      <c r="I504">
        <v>2019</v>
      </c>
      <c r="J504">
        <f t="shared" si="7"/>
        <v>9576</v>
      </c>
    </row>
    <row r="505" spans="1:10" x14ac:dyDescent="0.25">
      <c r="A505" t="s">
        <v>14</v>
      </c>
      <c r="B505" t="s">
        <v>31</v>
      </c>
      <c r="C505">
        <v>241</v>
      </c>
      <c r="D505">
        <v>6</v>
      </c>
      <c r="E505">
        <v>2.75</v>
      </c>
      <c r="F505" s="1">
        <v>43739</v>
      </c>
      <c r="G505">
        <v>10</v>
      </c>
      <c r="H505" t="s">
        <v>19</v>
      </c>
      <c r="I505">
        <v>2019</v>
      </c>
      <c r="J505">
        <f t="shared" si="7"/>
        <v>1446</v>
      </c>
    </row>
    <row r="506" spans="1:10" x14ac:dyDescent="0.25">
      <c r="A506" t="s">
        <v>14</v>
      </c>
      <c r="B506" t="s">
        <v>31</v>
      </c>
      <c r="C506">
        <v>2665</v>
      </c>
      <c r="D506">
        <v>6</v>
      </c>
      <c r="E506">
        <v>2.75</v>
      </c>
      <c r="F506" s="1">
        <v>43770</v>
      </c>
      <c r="G506">
        <v>11</v>
      </c>
      <c r="H506" t="s">
        <v>25</v>
      </c>
      <c r="I506">
        <v>2019</v>
      </c>
      <c r="J506">
        <f t="shared" si="7"/>
        <v>15990</v>
      </c>
    </row>
    <row r="507" spans="1:10" x14ac:dyDescent="0.25">
      <c r="A507" t="s">
        <v>21</v>
      </c>
      <c r="B507" t="s">
        <v>31</v>
      </c>
      <c r="C507">
        <v>853</v>
      </c>
      <c r="D507">
        <v>6</v>
      </c>
      <c r="E507">
        <v>2.75</v>
      </c>
      <c r="F507" s="1">
        <v>43800</v>
      </c>
      <c r="G507">
        <v>12</v>
      </c>
      <c r="H507" t="s">
        <v>20</v>
      </c>
      <c r="I507">
        <v>2019</v>
      </c>
      <c r="J507">
        <f t="shared" si="7"/>
        <v>5118</v>
      </c>
    </row>
    <row r="508" spans="1:10" x14ac:dyDescent="0.25">
      <c r="A508" t="s">
        <v>9</v>
      </c>
      <c r="B508" t="s">
        <v>31</v>
      </c>
      <c r="C508">
        <v>384</v>
      </c>
      <c r="D508">
        <v>6</v>
      </c>
      <c r="E508">
        <v>2.75</v>
      </c>
      <c r="F508" s="1">
        <v>43466</v>
      </c>
      <c r="G508">
        <v>1</v>
      </c>
      <c r="H508" t="s">
        <v>22</v>
      </c>
      <c r="I508">
        <v>2019</v>
      </c>
      <c r="J508">
        <f t="shared" si="7"/>
        <v>2304</v>
      </c>
    </row>
    <row r="509" spans="1:10" x14ac:dyDescent="0.25">
      <c r="A509" t="s">
        <v>14</v>
      </c>
      <c r="B509" t="s">
        <v>31</v>
      </c>
      <c r="C509">
        <v>472</v>
      </c>
      <c r="D509">
        <v>6</v>
      </c>
      <c r="E509">
        <v>2.75</v>
      </c>
      <c r="F509" s="1">
        <v>43739</v>
      </c>
      <c r="G509">
        <v>10</v>
      </c>
      <c r="H509" t="s">
        <v>19</v>
      </c>
      <c r="I509">
        <v>2019</v>
      </c>
      <c r="J509">
        <f t="shared" si="7"/>
        <v>2832</v>
      </c>
    </row>
    <row r="510" spans="1:10" x14ac:dyDescent="0.25">
      <c r="A510" t="s">
        <v>9</v>
      </c>
      <c r="B510" t="s">
        <v>31</v>
      </c>
      <c r="C510">
        <v>1808</v>
      </c>
      <c r="D510">
        <v>6</v>
      </c>
      <c r="E510">
        <v>2.75</v>
      </c>
      <c r="F510" s="1">
        <v>43770</v>
      </c>
      <c r="G510">
        <v>11</v>
      </c>
      <c r="H510" t="s">
        <v>25</v>
      </c>
      <c r="I510">
        <v>2019</v>
      </c>
      <c r="J510">
        <f t="shared" si="7"/>
        <v>10848</v>
      </c>
    </row>
    <row r="511" spans="1:10" x14ac:dyDescent="0.25">
      <c r="A511" t="s">
        <v>12</v>
      </c>
      <c r="B511" t="s">
        <v>31</v>
      </c>
      <c r="C511">
        <v>1395</v>
      </c>
      <c r="D511">
        <v>6</v>
      </c>
      <c r="E511">
        <v>2.75</v>
      </c>
      <c r="F511" s="1">
        <v>43647</v>
      </c>
      <c r="G511">
        <v>7</v>
      </c>
      <c r="H511" t="s">
        <v>15</v>
      </c>
      <c r="I511">
        <v>2019</v>
      </c>
      <c r="J511">
        <f t="shared" si="7"/>
        <v>8370</v>
      </c>
    </row>
    <row r="512" spans="1:10" x14ac:dyDescent="0.25">
      <c r="A512" t="s">
        <v>18</v>
      </c>
      <c r="B512" t="s">
        <v>31</v>
      </c>
      <c r="C512">
        <v>986</v>
      </c>
      <c r="D512">
        <v>6</v>
      </c>
      <c r="E512">
        <v>2.75</v>
      </c>
      <c r="F512" s="1">
        <v>43739</v>
      </c>
      <c r="G512">
        <v>10</v>
      </c>
      <c r="H512" t="s">
        <v>19</v>
      </c>
      <c r="I512">
        <v>2019</v>
      </c>
      <c r="J512">
        <f t="shared" si="7"/>
        <v>5916</v>
      </c>
    </row>
    <row r="513" spans="1:10" x14ac:dyDescent="0.25">
      <c r="A513" t="s">
        <v>12</v>
      </c>
      <c r="B513" t="s">
        <v>31</v>
      </c>
      <c r="C513">
        <v>905</v>
      </c>
      <c r="D513">
        <v>6</v>
      </c>
      <c r="E513">
        <v>2.75</v>
      </c>
      <c r="F513" s="1">
        <v>43739</v>
      </c>
      <c r="G513">
        <v>10</v>
      </c>
      <c r="H513" t="s">
        <v>19</v>
      </c>
      <c r="I513">
        <v>2019</v>
      </c>
      <c r="J513">
        <f t="shared" si="7"/>
        <v>5430</v>
      </c>
    </row>
    <row r="514" spans="1:10" x14ac:dyDescent="0.25">
      <c r="A514" t="s">
        <v>21</v>
      </c>
      <c r="B514" t="s">
        <v>31</v>
      </c>
      <c r="C514">
        <v>3997.5</v>
      </c>
      <c r="D514">
        <v>6</v>
      </c>
      <c r="E514">
        <v>2.75</v>
      </c>
      <c r="F514" s="1">
        <v>43466</v>
      </c>
      <c r="G514">
        <v>1</v>
      </c>
      <c r="H514" t="s">
        <v>22</v>
      </c>
      <c r="I514">
        <v>2019</v>
      </c>
      <c r="J514">
        <f t="shared" si="7"/>
        <v>23985</v>
      </c>
    </row>
    <row r="515" spans="1:10" x14ac:dyDescent="0.25">
      <c r="A515" t="s">
        <v>9</v>
      </c>
      <c r="B515" t="s">
        <v>31</v>
      </c>
      <c r="C515">
        <v>2632</v>
      </c>
      <c r="D515">
        <v>6</v>
      </c>
      <c r="E515">
        <v>2.75</v>
      </c>
      <c r="F515" s="1">
        <v>43617</v>
      </c>
      <c r="G515">
        <v>6</v>
      </c>
      <c r="H515" t="s">
        <v>13</v>
      </c>
      <c r="I515">
        <v>2019</v>
      </c>
      <c r="J515">
        <f t="shared" ref="J515:J526" si="8">C515*D515</f>
        <v>15792</v>
      </c>
    </row>
    <row r="516" spans="1:10" x14ac:dyDescent="0.25">
      <c r="A516" t="s">
        <v>21</v>
      </c>
      <c r="B516" t="s">
        <v>31</v>
      </c>
      <c r="C516">
        <v>1190</v>
      </c>
      <c r="D516">
        <v>6</v>
      </c>
      <c r="E516">
        <v>2.75</v>
      </c>
      <c r="F516" s="1">
        <v>43617</v>
      </c>
      <c r="G516">
        <v>6</v>
      </c>
      <c r="H516" t="s">
        <v>13</v>
      </c>
      <c r="I516">
        <v>2019</v>
      </c>
      <c r="J516">
        <f t="shared" si="8"/>
        <v>7140</v>
      </c>
    </row>
    <row r="517" spans="1:10" x14ac:dyDescent="0.25">
      <c r="A517" t="s">
        <v>12</v>
      </c>
      <c r="B517" t="s">
        <v>31</v>
      </c>
      <c r="C517">
        <v>604</v>
      </c>
      <c r="D517">
        <v>6</v>
      </c>
      <c r="E517">
        <v>2.75</v>
      </c>
      <c r="F517" s="1">
        <v>43617</v>
      </c>
      <c r="G517">
        <v>6</v>
      </c>
      <c r="H517" t="s">
        <v>13</v>
      </c>
      <c r="I517">
        <v>2019</v>
      </c>
      <c r="J517">
        <f t="shared" si="8"/>
        <v>3624</v>
      </c>
    </row>
    <row r="518" spans="1:10" x14ac:dyDescent="0.25">
      <c r="A518" t="s">
        <v>12</v>
      </c>
      <c r="B518" t="s">
        <v>31</v>
      </c>
      <c r="C518">
        <v>410</v>
      </c>
      <c r="D518">
        <v>6</v>
      </c>
      <c r="E518">
        <v>2.75</v>
      </c>
      <c r="F518" s="1">
        <v>43739</v>
      </c>
      <c r="G518">
        <v>10</v>
      </c>
      <c r="H518" t="s">
        <v>19</v>
      </c>
      <c r="I518">
        <v>2019</v>
      </c>
      <c r="J518">
        <f t="shared" si="8"/>
        <v>2460</v>
      </c>
    </row>
    <row r="519" spans="1:10" x14ac:dyDescent="0.25">
      <c r="A519" t="s">
        <v>14</v>
      </c>
      <c r="B519" t="s">
        <v>31</v>
      </c>
      <c r="C519">
        <v>1013</v>
      </c>
      <c r="D519">
        <v>6</v>
      </c>
      <c r="E519">
        <v>2.75</v>
      </c>
      <c r="F519" s="1">
        <v>43800</v>
      </c>
      <c r="G519">
        <v>12</v>
      </c>
      <c r="H519" t="s">
        <v>20</v>
      </c>
      <c r="I519">
        <v>2019</v>
      </c>
      <c r="J519">
        <f t="shared" si="8"/>
        <v>6078</v>
      </c>
    </row>
    <row r="520" spans="1:10" x14ac:dyDescent="0.25">
      <c r="A520" t="s">
        <v>12</v>
      </c>
      <c r="B520" t="s">
        <v>31</v>
      </c>
      <c r="C520">
        <v>1575</v>
      </c>
      <c r="D520">
        <v>6</v>
      </c>
      <c r="E520">
        <v>2.75</v>
      </c>
      <c r="F520" s="1">
        <v>43497</v>
      </c>
      <c r="G520">
        <v>2</v>
      </c>
      <c r="H520" t="s">
        <v>11</v>
      </c>
      <c r="I520">
        <v>2019</v>
      </c>
      <c r="J520">
        <f t="shared" si="8"/>
        <v>9450</v>
      </c>
    </row>
    <row r="521" spans="1:10" x14ac:dyDescent="0.25">
      <c r="A521" t="s">
        <v>18</v>
      </c>
      <c r="B521" t="s">
        <v>31</v>
      </c>
      <c r="C521">
        <v>606</v>
      </c>
      <c r="D521">
        <v>6</v>
      </c>
      <c r="E521">
        <v>2.75</v>
      </c>
      <c r="F521" s="1">
        <v>43556</v>
      </c>
      <c r="G521">
        <v>4</v>
      </c>
      <c r="H521" t="s">
        <v>24</v>
      </c>
      <c r="I521">
        <v>2019</v>
      </c>
      <c r="J521">
        <f t="shared" si="8"/>
        <v>3636</v>
      </c>
    </row>
    <row r="522" spans="1:10" x14ac:dyDescent="0.25">
      <c r="A522" t="s">
        <v>18</v>
      </c>
      <c r="B522" t="s">
        <v>31</v>
      </c>
      <c r="C522">
        <v>2460</v>
      </c>
      <c r="D522">
        <v>6</v>
      </c>
      <c r="E522">
        <v>2.75</v>
      </c>
      <c r="F522" s="1">
        <v>43647</v>
      </c>
      <c r="G522">
        <v>7</v>
      </c>
      <c r="H522" t="s">
        <v>15</v>
      </c>
      <c r="I522">
        <v>2019</v>
      </c>
      <c r="J522">
        <f t="shared" si="8"/>
        <v>14760</v>
      </c>
    </row>
    <row r="523" spans="1:10" x14ac:dyDescent="0.25">
      <c r="A523" t="s">
        <v>12</v>
      </c>
      <c r="B523" t="s">
        <v>31</v>
      </c>
      <c r="C523">
        <v>500</v>
      </c>
      <c r="D523">
        <v>6</v>
      </c>
      <c r="E523">
        <v>2.75</v>
      </c>
      <c r="F523" s="1">
        <v>43525</v>
      </c>
      <c r="G523">
        <v>3</v>
      </c>
      <c r="H523" t="s">
        <v>26</v>
      </c>
      <c r="I523">
        <v>2019</v>
      </c>
      <c r="J523">
        <f t="shared" si="8"/>
        <v>3000</v>
      </c>
    </row>
    <row r="524" spans="1:10" x14ac:dyDescent="0.25">
      <c r="A524" t="s">
        <v>21</v>
      </c>
      <c r="B524" t="s">
        <v>31</v>
      </c>
      <c r="C524">
        <v>2826</v>
      </c>
      <c r="D524">
        <v>6</v>
      </c>
      <c r="E524">
        <v>2.75</v>
      </c>
      <c r="F524" s="1">
        <v>43586</v>
      </c>
      <c r="G524">
        <v>5</v>
      </c>
      <c r="H524" t="s">
        <v>23</v>
      </c>
      <c r="I524">
        <v>2019</v>
      </c>
      <c r="J524">
        <f t="shared" si="8"/>
        <v>16956</v>
      </c>
    </row>
    <row r="525" spans="1:10" x14ac:dyDescent="0.25">
      <c r="A525" t="s">
        <v>21</v>
      </c>
      <c r="B525" t="s">
        <v>31</v>
      </c>
      <c r="C525">
        <v>663</v>
      </c>
      <c r="D525">
        <v>6</v>
      </c>
      <c r="E525">
        <v>2.75</v>
      </c>
      <c r="F525" s="1">
        <v>43709</v>
      </c>
      <c r="G525">
        <v>9</v>
      </c>
      <c r="H525" t="s">
        <v>17</v>
      </c>
      <c r="I525">
        <v>2019</v>
      </c>
      <c r="J525">
        <f t="shared" si="8"/>
        <v>3978</v>
      </c>
    </row>
    <row r="526" spans="1:10" x14ac:dyDescent="0.25">
      <c r="A526" t="s">
        <v>18</v>
      </c>
      <c r="B526" t="s">
        <v>31</v>
      </c>
      <c r="C526">
        <v>914</v>
      </c>
      <c r="D526">
        <v>6</v>
      </c>
      <c r="E526">
        <v>2.75</v>
      </c>
      <c r="F526" s="1">
        <v>43800</v>
      </c>
      <c r="G526">
        <v>12</v>
      </c>
      <c r="H526" t="s">
        <v>20</v>
      </c>
      <c r="I526">
        <v>2019</v>
      </c>
      <c r="J526">
        <f t="shared" si="8"/>
        <v>5484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Ushie Mary</cp:lastModifiedBy>
  <dcterms:created xsi:type="dcterms:W3CDTF">2026-06-26T00:13:21Z</dcterms:created>
  <dcterms:modified xsi:type="dcterms:W3CDTF">2026-06-26T02:08:36Z</dcterms:modified>
</cp:coreProperties>
</file>